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Arnab Chanda\Desktop\Diabetes Nutrition &amp; Glycemic Control Project Analysis\"/>
    </mc:Choice>
  </mc:AlternateContent>
  <xr:revisionPtr revIDLastSave="0" documentId="13_ncr:1_{233DBE76-4AA1-4CF8-9AB6-92AAF2641AC9}" xr6:coauthVersionLast="47" xr6:coauthVersionMax="47" xr10:uidLastSave="{00000000-0000-0000-0000-000000000000}"/>
  <bookViews>
    <workbookView xWindow="-108" yWindow="-108" windowWidth="23256" windowHeight="12456" activeTab="2" xr2:uid="{5FB4EEE4-610A-4128-B3CF-7A34861763A9}"/>
  </bookViews>
  <sheets>
    <sheet name="Diabetic" sheetId="1" r:id="rId1"/>
    <sheet name="Pivot Table" sheetId="2" r:id="rId2"/>
    <sheet name="Dashboard" sheetId="3" r:id="rId3"/>
  </sheets>
  <definedNames>
    <definedName name="_xlnm._FilterDatabase" localSheetId="0" hidden="1">Diabetic!$D$1:$D$225</definedName>
    <definedName name="Slicer_Meal">#N/A</definedName>
    <definedName name="Slicer_Veg_NonVeg">#N/A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 i="1" l="1"/>
  <c r="Q2" i="1"/>
  <c r="P2" i="1"/>
  <c r="O2"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3"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 i="1"/>
</calcChain>
</file>

<file path=xl/sharedStrings.xml><?xml version="1.0" encoding="utf-8"?>
<sst xmlns="http://schemas.openxmlformats.org/spreadsheetml/2006/main" count="1174" uniqueCount="57">
  <si>
    <t>Meal</t>
  </si>
  <si>
    <t>Time</t>
  </si>
  <si>
    <t>Dish</t>
  </si>
  <si>
    <t>Calories</t>
  </si>
  <si>
    <t>Protein</t>
  </si>
  <si>
    <t>Carbs</t>
  </si>
  <si>
    <t>Fat</t>
  </si>
  <si>
    <t>Fiber</t>
  </si>
  <si>
    <t>Glycemic Index</t>
  </si>
  <si>
    <t>Day-1</t>
  </si>
  <si>
    <t>Diabetic_NotActive</t>
  </si>
  <si>
    <t>Veg</t>
  </si>
  <si>
    <t>Breakfast</t>
  </si>
  <si>
    <t>Oats porridge with flax seeds + 1 cup sprouts</t>
  </si>
  <si>
    <t>Non-Veg</t>
  </si>
  <si>
    <t>Oats porridge + boiled egg whites + milk</t>
  </si>
  <si>
    <t>Diabetic_Active</t>
  </si>
  <si>
    <t>NonDiabetic_NotActive</t>
  </si>
  <si>
    <t>NonDiabetic_Active</t>
  </si>
  <si>
    <t>Day-2</t>
  </si>
  <si>
    <t>Day-3</t>
  </si>
  <si>
    <t>Day-4</t>
  </si>
  <si>
    <t>Day-5</t>
  </si>
  <si>
    <t>Day-6</t>
  </si>
  <si>
    <t>Day-7</t>
  </si>
  <si>
    <t>Lunch</t>
  </si>
  <si>
    <t>Whole wheat chapati + palak paneer + cucumber salad</t>
  </si>
  <si>
    <t>Brown rice + grilled chicken curry + salad</t>
  </si>
  <si>
    <t>Snack</t>
  </si>
  <si>
    <t>Roasted chana + Greek yogurt (unsweetened)</t>
  </si>
  <si>
    <t>Boiled egg + roasted peanuts</t>
  </si>
  <si>
    <t>Dinner</t>
  </si>
  <si>
    <t>Grilled tofu + vegetables</t>
  </si>
  <si>
    <t>Grilled fish + vegetables</t>
  </si>
  <si>
    <t>Veg_NonVeg</t>
  </si>
  <si>
    <t>Day_No</t>
  </si>
  <si>
    <t>Group_Status</t>
  </si>
  <si>
    <t>Veg_Calories</t>
  </si>
  <si>
    <t>Non-Veg_Calories</t>
  </si>
  <si>
    <t>Breakfast_Meal</t>
  </si>
  <si>
    <t>Lunch_Meal</t>
  </si>
  <si>
    <t>Dinner_Meal</t>
  </si>
  <si>
    <t>Snack_Meal</t>
  </si>
  <si>
    <t>Row Labels</t>
  </si>
  <si>
    <t>Average of Glycemic Index</t>
  </si>
  <si>
    <t>Average Glycemia level by food meal</t>
  </si>
  <si>
    <t>Column Labels</t>
  </si>
  <si>
    <t>Sum of Calories</t>
  </si>
  <si>
    <t>Average of Calories</t>
  </si>
  <si>
    <t>Find out daily calories (Breakfast, Lunch, Dinner &amp; Snacks)</t>
  </si>
  <si>
    <t>How much average daily nutrients intake</t>
  </si>
  <si>
    <t>Average of Protein</t>
  </si>
  <si>
    <t>Average of Carbs</t>
  </si>
  <si>
    <t>Average of Fat</t>
  </si>
  <si>
    <t>Average of Fiber</t>
  </si>
  <si>
    <t>Find out Group-wise meal average Glycemic index.</t>
  </si>
  <si>
    <t>Find out Total Veg and Non-veg calories.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</si>
</sst>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4"/>
      <color theme="1"/>
      <name val="Calibri"/>
      <family val="2"/>
    </font>
    <font>
      <sz val="14"/>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4"/>
      <color rgb="FF006100"/>
      <name val="Calibri"/>
      <family val="2"/>
    </font>
    <font>
      <sz val="14"/>
      <color rgb="FF9C0006"/>
      <name val="Calibri"/>
      <family val="2"/>
    </font>
    <font>
      <sz val="14"/>
      <color rgb="FF9C5700"/>
      <name val="Calibri"/>
      <family val="2"/>
    </font>
    <font>
      <sz val="14"/>
      <color rgb="FF3F3F76"/>
      <name val="Calibri"/>
      <family val="2"/>
    </font>
    <font>
      <b/>
      <sz val="14"/>
      <color rgb="FF3F3F3F"/>
      <name val="Calibri"/>
      <family val="2"/>
    </font>
    <font>
      <b/>
      <sz val="14"/>
      <color rgb="FFFA7D00"/>
      <name val="Calibri"/>
      <family val="2"/>
    </font>
    <font>
      <sz val="14"/>
      <color rgb="FFFA7D00"/>
      <name val="Calibri"/>
      <family val="2"/>
    </font>
    <font>
      <b/>
      <sz val="14"/>
      <color theme="0"/>
      <name val="Calibri"/>
      <family val="2"/>
    </font>
    <font>
      <sz val="14"/>
      <color rgb="FFFF0000"/>
      <name val="Calibri"/>
      <family val="2"/>
    </font>
    <font>
      <i/>
      <sz val="14"/>
      <color rgb="FF7F7F7F"/>
      <name val="Calibri"/>
      <family val="2"/>
    </font>
    <font>
      <b/>
      <sz val="14"/>
      <color theme="1"/>
      <name val="Calibri"/>
      <family val="2"/>
    </font>
    <font>
      <sz val="14"/>
      <color theme="0"/>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8" fontId="0" fillId="0" borderId="0" xfId="0" applyNumberFormat="1"/>
    <xf numFmtId="0" fontId="0" fillId="0" borderId="0" xfId="0" applyAlignment="1">
      <alignment horizontal="center" vertical="center"/>
    </xf>
    <xf numFmtId="0" fontId="0" fillId="0" borderId="0" xfId="0" pivotButton="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23" formatCode="h:mm\ AM/PM"/>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[Diabetic.xlsx]Pivot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solidFill>
                  <a:schemeClr val="tx1"/>
                </a:solidFill>
              </a:rPr>
              <a:t>Average Glycemia Level by Food Meal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960897640410455"/>
                  <c:h val="0.1585427116224819"/>
                </c:manualLayout>
              </c15:layout>
            </c:ext>
          </c:extLst>
        </c:dLbl>
      </c:pivotFmt>
      <c:pivotFmt>
        <c:idx val="4"/>
        <c:spPr>
          <a:solidFill>
            <a:schemeClr val="accent6"/>
          </a:solidFill>
          <a:ln>
            <a:noFill/>
          </a:ln>
          <a:effectLst/>
        </c:spP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5177020838247144"/>
                  <c:h val="0.1585427116224819"/>
                </c:manualLayout>
              </c15:layout>
            </c:ext>
          </c:extLst>
        </c:dLbl>
      </c:pivotFmt>
      <c:pivotFmt>
        <c:idx val="5"/>
        <c:spPr>
          <a:solidFill>
            <a:schemeClr val="tx2">
              <a:lumMod val="50000"/>
              <a:lumOff val="50000"/>
            </a:schemeClr>
          </a:solidFill>
          <a:ln>
            <a:noFill/>
          </a:ln>
          <a:effectLst/>
        </c:spP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591543774104336"/>
                  <c:h val="0.1585427116224819"/>
                </c:manualLayout>
              </c15:layout>
            </c:ext>
          </c:extLst>
        </c:dLbl>
      </c:pivotFmt>
      <c:pivotFmt>
        <c:idx val="6"/>
        <c:spPr>
          <a:solidFill>
            <a:schemeClr val="accent1"/>
          </a:solidFill>
          <a:ln>
            <a:noFill/>
          </a:ln>
          <a:effectLst/>
        </c:spP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3330251506716565"/>
                  <c:h val="0.1585427116224819"/>
                </c:manualLayout>
              </c15:layout>
            </c:ext>
          </c:extLst>
        </c:dLbl>
      </c:pivotFmt>
    </c:pivotFmts>
    <c:plotArea>
      <c:layout/>
      <c:barChart>
        <c:barDir val="col"/>
        <c:grouping val="clustered"/>
        <c:varyColors val="0"/>
        <c:ser>
          <c:idx val="0"/>
          <c:order val="0"/>
          <c:tx>
            <c:strRef>
              <c:f>'Pivot Table'!$D$2</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4-58B3-4F07-B381-B27E94102FE3}"/>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1-58B3-4F07-B381-B27E94102FE3}"/>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2-58B3-4F07-B381-B27E94102FE3}"/>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3-58B3-4F07-B381-B27E94102FE3}"/>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3330251506716565"/>
                      <c:h val="0.1585427116224819"/>
                    </c:manualLayout>
                  </c15:layout>
                </c:ext>
                <c:ext xmlns:c16="http://schemas.microsoft.com/office/drawing/2014/chart" uri="{C3380CC4-5D6E-409C-BE32-E72D297353CC}">
                  <c16:uniqueId val="{00000004-58B3-4F07-B381-B27E94102FE3}"/>
                </c:ext>
              </c:extLst>
            </c:dLbl>
            <c:dLbl>
              <c:idx val="1"/>
              <c:dLblPos val="outEnd"/>
              <c:showLegendKey val="0"/>
              <c:showVal val="1"/>
              <c:showCatName val="0"/>
              <c:showSerName val="0"/>
              <c:showPercent val="0"/>
              <c:showBubbleSize val="0"/>
              <c:extLst>
                <c:ext xmlns:c15="http://schemas.microsoft.com/office/drawing/2012/chart" uri="{CE6537A1-D6FC-4f65-9D91-7224C49458BB}">
                  <c15:layout>
                    <c:manualLayout>
                      <c:w val="0.22960897640410455"/>
                      <c:h val="0.1585427116224819"/>
                    </c:manualLayout>
                  </c15:layout>
                </c:ext>
                <c:ext xmlns:c16="http://schemas.microsoft.com/office/drawing/2014/chart" uri="{C3380CC4-5D6E-409C-BE32-E72D297353CC}">
                  <c16:uniqueId val="{00000001-58B3-4F07-B381-B27E94102FE3}"/>
                </c:ext>
              </c:extLst>
            </c:dLbl>
            <c:dLbl>
              <c:idx val="2"/>
              <c:dLblPos val="outEnd"/>
              <c:showLegendKey val="0"/>
              <c:showVal val="1"/>
              <c:showCatName val="0"/>
              <c:showSerName val="0"/>
              <c:showPercent val="0"/>
              <c:showBubbleSize val="0"/>
              <c:extLst>
                <c:ext xmlns:c15="http://schemas.microsoft.com/office/drawing/2012/chart" uri="{CE6537A1-D6FC-4f65-9D91-7224C49458BB}">
                  <c15:layout>
                    <c:manualLayout>
                      <c:w val="0.25177020838247144"/>
                      <c:h val="0.1585427116224819"/>
                    </c:manualLayout>
                  </c15:layout>
                </c:ext>
                <c:ext xmlns:c16="http://schemas.microsoft.com/office/drawing/2014/chart" uri="{C3380CC4-5D6E-409C-BE32-E72D297353CC}">
                  <c16:uniqueId val="{00000002-58B3-4F07-B381-B27E94102FE3}"/>
                </c:ext>
              </c:extLst>
            </c:dLbl>
            <c:dLbl>
              <c:idx val="3"/>
              <c:dLblPos val="outEnd"/>
              <c:showLegendKey val="0"/>
              <c:showVal val="1"/>
              <c:showCatName val="0"/>
              <c:showSerName val="0"/>
              <c:showPercent val="0"/>
              <c:showBubbleSize val="0"/>
              <c:extLst>
                <c:ext xmlns:c15="http://schemas.microsoft.com/office/drawing/2012/chart" uri="{CE6537A1-D6FC-4f65-9D91-7224C49458BB}">
                  <c15:layout>
                    <c:manualLayout>
                      <c:w val="0.22591543774104336"/>
                      <c:h val="0.1585427116224819"/>
                    </c:manualLayout>
                  </c15:layout>
                </c:ext>
                <c:ext xmlns:c16="http://schemas.microsoft.com/office/drawing/2014/chart" uri="{C3380CC4-5D6E-409C-BE32-E72D297353CC}">
                  <c16:uniqueId val="{00000003-58B3-4F07-B381-B27E94102FE3}"/>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Table'!$C$3:$C$6</c:f>
              <c:strCache>
                <c:ptCount val="4"/>
                <c:pt idx="0">
                  <c:v>Breakfast</c:v>
                </c:pt>
                <c:pt idx="1">
                  <c:v>Dinner</c:v>
                </c:pt>
                <c:pt idx="2">
                  <c:v>Lunch</c:v>
                </c:pt>
                <c:pt idx="3">
                  <c:v>Snack</c:v>
                </c:pt>
              </c:strCache>
            </c:strRef>
          </c:cat>
          <c:val>
            <c:numRef>
              <c:f>'Pivot Table'!$D$3:$D$6</c:f>
              <c:numCache>
                <c:formatCode>General</c:formatCode>
                <c:ptCount val="4"/>
                <c:pt idx="0">
                  <c:v>52.089285714285715</c:v>
                </c:pt>
                <c:pt idx="1">
                  <c:v>50.857142857142854</c:v>
                </c:pt>
                <c:pt idx="2">
                  <c:v>53.803571428571431</c:v>
                </c:pt>
                <c:pt idx="3">
                  <c:v>45.982142857142854</c:v>
                </c:pt>
              </c:numCache>
            </c:numRef>
          </c:val>
          <c:extLst>
            <c:ext xmlns:c16="http://schemas.microsoft.com/office/drawing/2014/chart" uri="{C3380CC4-5D6E-409C-BE32-E72D297353CC}">
              <c16:uniqueId val="{00000000-58B3-4F07-B381-B27E94102FE3}"/>
            </c:ext>
          </c:extLst>
        </c:ser>
        <c:dLbls>
          <c:dLblPos val="outEnd"/>
          <c:showLegendKey val="0"/>
          <c:showVal val="1"/>
          <c:showCatName val="0"/>
          <c:showSerName val="0"/>
          <c:showPercent val="0"/>
          <c:showBubbleSize val="0"/>
        </c:dLbls>
        <c:gapWidth val="219"/>
        <c:overlap val="-27"/>
        <c:axId val="1189780655"/>
        <c:axId val="1189782575"/>
      </c:barChart>
      <c:catAx>
        <c:axId val="1189780655"/>
        <c:scaling>
          <c:orientation val="minMax"/>
        </c:scaling>
        <c:delete val="0"/>
        <c:axPos val="b"/>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189782575"/>
        <c:crosses val="autoZero"/>
        <c:auto val="1"/>
        <c:lblAlgn val="ctr"/>
        <c:lblOffset val="100"/>
        <c:noMultiLvlLbl val="0"/>
      </c:catAx>
      <c:valAx>
        <c:axId val="118978257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189780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[Diabetic.xlsx]Pivot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solidFill>
                  <a:schemeClr val="tx1"/>
                </a:solidFill>
              </a:rPr>
              <a:t>Find out daily calories (Breakfast, Lunch, Dinner &amp; Snacks)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 Table'!$D$10</c:f>
              <c:strCache>
                <c:ptCount val="1"/>
                <c:pt idx="0">
                  <c:v>Total</c:v>
                </c:pt>
              </c:strCache>
            </c:strRef>
          </c:tx>
          <c:explosion val="4"/>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C81-4E01-A604-69B073BA9F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C81-4E01-A604-69B073BA9F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C81-4E01-A604-69B073BA9F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C81-4E01-A604-69B073BA9F45}"/>
              </c:ext>
            </c:extLst>
          </c:dPt>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Table'!$C$11:$C$14</c:f>
              <c:strCache>
                <c:ptCount val="4"/>
                <c:pt idx="0">
                  <c:v>Breakfast</c:v>
                </c:pt>
                <c:pt idx="1">
                  <c:v>Dinner</c:v>
                </c:pt>
                <c:pt idx="2">
                  <c:v>Lunch</c:v>
                </c:pt>
                <c:pt idx="3">
                  <c:v>Snack</c:v>
                </c:pt>
              </c:strCache>
            </c:strRef>
          </c:cat>
          <c:val>
            <c:numRef>
              <c:f>'Pivot Table'!$D$11:$D$14</c:f>
              <c:numCache>
                <c:formatCode>General</c:formatCode>
                <c:ptCount val="4"/>
                <c:pt idx="0">
                  <c:v>351.45</c:v>
                </c:pt>
                <c:pt idx="1">
                  <c:v>331.65000000000015</c:v>
                </c:pt>
                <c:pt idx="2">
                  <c:v>445.5</c:v>
                </c:pt>
                <c:pt idx="3">
                  <c:v>257.40000000000009</c:v>
                </c:pt>
              </c:numCache>
            </c:numRef>
          </c:val>
          <c:extLst>
            <c:ext xmlns:c16="http://schemas.microsoft.com/office/drawing/2014/chart" uri="{C3380CC4-5D6E-409C-BE32-E72D297353CC}">
              <c16:uniqueId val="{00000008-6C81-4E01-A604-69B073BA9F45}"/>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6442914555466679"/>
          <c:y val="0.22214741648418207"/>
          <c:w val="0.21162394136840976"/>
          <c:h val="0.42389951482402777"/>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[Diabetic.xlsx]Pivot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solidFill>
                  <a:schemeClr val="tx1"/>
                </a:solidFill>
              </a:rPr>
              <a:t>Average Daily Nutrients Intake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4.7348484848484793E-2"/>
              <c:y val="-5.128205128205128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2791992901092949E-2"/>
              <c:y val="4.003267458794264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6319203513190098"/>
                  <c:h val="0.15675651577935826"/>
                </c:manualLayout>
              </c15:layout>
            </c:ext>
          </c:extLst>
        </c:dLbl>
      </c:pivotFmt>
    </c:pivotFmts>
    <c:plotArea>
      <c:layout/>
      <c:barChart>
        <c:barDir val="col"/>
        <c:grouping val="clustered"/>
        <c:varyColors val="0"/>
        <c:ser>
          <c:idx val="0"/>
          <c:order val="0"/>
          <c:tx>
            <c:strRef>
              <c:f>'Pivot Table'!$C$17</c:f>
              <c:strCache>
                <c:ptCount val="1"/>
                <c:pt idx="0">
                  <c:v>Average of Protein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Table'!$C$18</c:f>
              <c:strCache>
                <c:ptCount val="1"/>
                <c:pt idx="0">
                  <c:v>Total</c:v>
                </c:pt>
              </c:strCache>
            </c:strRef>
          </c:cat>
          <c:val>
            <c:numRef>
              <c:f>'Pivot Table'!$C$18</c:f>
              <c:numCache>
                <c:formatCode>General</c:formatCode>
                <c:ptCount val="1"/>
                <c:pt idx="0">
                  <c:v>22.150000000000009</c:v>
                </c:pt>
              </c:numCache>
            </c:numRef>
          </c:val>
          <c:extLst>
            <c:ext xmlns:c16="http://schemas.microsoft.com/office/drawing/2014/chart" uri="{C3380CC4-5D6E-409C-BE32-E72D297353CC}">
              <c16:uniqueId val="{00000000-EE8F-46E7-B0AA-EFBACD287B47}"/>
            </c:ext>
          </c:extLst>
        </c:ser>
        <c:ser>
          <c:idx val="1"/>
          <c:order val="1"/>
          <c:tx>
            <c:strRef>
              <c:f>'Pivot Table'!$D$17</c:f>
              <c:strCache>
                <c:ptCount val="1"/>
                <c:pt idx="0">
                  <c:v>Average of Carbs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5-EE8F-46E7-B0AA-EFBACD287B47}"/>
              </c:ext>
            </c:extLst>
          </c:dPt>
          <c:dLbls>
            <c:dLbl>
              <c:idx val="0"/>
              <c:layout>
                <c:manualLayout>
                  <c:x val="3.2791992901092949E-2"/>
                  <c:y val="4.0032674587942643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6319203513190098"/>
                      <c:h val="0.15675651577935826"/>
                    </c:manualLayout>
                  </c15:layout>
                </c:ext>
                <c:ext xmlns:c16="http://schemas.microsoft.com/office/drawing/2014/chart" uri="{C3380CC4-5D6E-409C-BE32-E72D297353CC}">
                  <c16:uniqueId val="{00000005-EE8F-46E7-B0AA-EFBACD287B4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Table'!$C$18</c:f>
              <c:strCache>
                <c:ptCount val="1"/>
                <c:pt idx="0">
                  <c:v>Total</c:v>
                </c:pt>
              </c:strCache>
            </c:strRef>
          </c:cat>
          <c:val>
            <c:numRef>
              <c:f>'Pivot Table'!$D$18</c:f>
              <c:numCache>
                <c:formatCode>General</c:formatCode>
                <c:ptCount val="1"/>
                <c:pt idx="0">
                  <c:v>27.594642857142837</c:v>
                </c:pt>
              </c:numCache>
            </c:numRef>
          </c:val>
          <c:extLst>
            <c:ext xmlns:c16="http://schemas.microsoft.com/office/drawing/2014/chart" uri="{C3380CC4-5D6E-409C-BE32-E72D297353CC}">
              <c16:uniqueId val="{00000001-EE8F-46E7-B0AA-EFBACD287B47}"/>
            </c:ext>
          </c:extLst>
        </c:ser>
        <c:ser>
          <c:idx val="2"/>
          <c:order val="2"/>
          <c:tx>
            <c:strRef>
              <c:f>'Pivot Table'!$E$17</c:f>
              <c:strCache>
                <c:ptCount val="1"/>
                <c:pt idx="0">
                  <c:v>Average of Fat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Table'!$C$18</c:f>
              <c:strCache>
                <c:ptCount val="1"/>
                <c:pt idx="0">
                  <c:v>Total</c:v>
                </c:pt>
              </c:strCache>
            </c:strRef>
          </c:cat>
          <c:val>
            <c:numRef>
              <c:f>'Pivot Table'!$E$18</c:f>
              <c:numCache>
                <c:formatCode>General</c:formatCode>
                <c:ptCount val="1"/>
                <c:pt idx="0">
                  <c:v>11.999999999999998</c:v>
                </c:pt>
              </c:numCache>
            </c:numRef>
          </c:val>
          <c:extLst>
            <c:ext xmlns:c16="http://schemas.microsoft.com/office/drawing/2014/chart" uri="{C3380CC4-5D6E-409C-BE32-E72D297353CC}">
              <c16:uniqueId val="{00000002-EE8F-46E7-B0AA-EFBACD287B47}"/>
            </c:ext>
          </c:extLst>
        </c:ser>
        <c:ser>
          <c:idx val="3"/>
          <c:order val="3"/>
          <c:tx>
            <c:strRef>
              <c:f>'Pivot Table'!$F$17</c:f>
              <c:strCache>
                <c:ptCount val="1"/>
                <c:pt idx="0">
                  <c:v>Average of Fiber</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4-EE8F-46E7-B0AA-EFBACD287B47}"/>
              </c:ext>
            </c:extLst>
          </c:dPt>
          <c:dLbls>
            <c:dLbl>
              <c:idx val="0"/>
              <c:layout>
                <c:manualLayout>
                  <c:x val="4.7348484848484793E-2"/>
                  <c:y val="-5.12820512820512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E8F-46E7-B0AA-EFBACD287B47}"/>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Table'!$C$18</c:f>
              <c:strCache>
                <c:ptCount val="1"/>
                <c:pt idx="0">
                  <c:v>Total</c:v>
                </c:pt>
              </c:strCache>
            </c:strRef>
          </c:cat>
          <c:val>
            <c:numRef>
              <c:f>'Pivot Table'!$F$18</c:f>
              <c:numCache>
                <c:formatCode>General</c:formatCode>
                <c:ptCount val="1"/>
                <c:pt idx="0">
                  <c:v>5.9410714285714263</c:v>
                </c:pt>
              </c:numCache>
            </c:numRef>
          </c:val>
          <c:extLst>
            <c:ext xmlns:c16="http://schemas.microsoft.com/office/drawing/2014/chart" uri="{C3380CC4-5D6E-409C-BE32-E72D297353CC}">
              <c16:uniqueId val="{00000003-EE8F-46E7-B0AA-EFBACD287B47}"/>
            </c:ext>
          </c:extLst>
        </c:ser>
        <c:dLbls>
          <c:dLblPos val="outEnd"/>
          <c:showLegendKey val="0"/>
          <c:showVal val="1"/>
          <c:showCatName val="0"/>
          <c:showSerName val="0"/>
          <c:showPercent val="0"/>
          <c:showBubbleSize val="0"/>
        </c:dLbls>
        <c:gapWidth val="219"/>
        <c:overlap val="-27"/>
        <c:axId val="1466854271"/>
        <c:axId val="1466854751"/>
      </c:barChart>
      <c:catAx>
        <c:axId val="1466854271"/>
        <c:scaling>
          <c:orientation val="minMax"/>
        </c:scaling>
        <c:delete val="1"/>
        <c:axPos val="b"/>
        <c:numFmt formatCode="General" sourceLinked="1"/>
        <c:majorTickMark val="none"/>
        <c:minorTickMark val="none"/>
        <c:tickLblPos val="nextTo"/>
        <c:crossAx val="1466854751"/>
        <c:crosses val="autoZero"/>
        <c:auto val="1"/>
        <c:lblAlgn val="ctr"/>
        <c:lblOffset val="100"/>
        <c:noMultiLvlLbl val="0"/>
      </c:catAx>
      <c:valAx>
        <c:axId val="14668547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466854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[Diabetic.xlsx]Pivot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chemeClr val="tx1"/>
                </a:solidFill>
              </a:rPr>
              <a:t>Find out Group-wise Meal Average Glycemic Index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5.1454142690521572E-2"/>
              <c:y val="-8.3615095355774379E-3"/>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1.4407159953346158E-2"/>
              <c:y val="-4.1807547677887018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581657076208688E-3"/>
              <c:y val="-7.10728310524079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6.7919468351488682E-2"/>
              <c:y val="-9.1976604891351427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1.4407159953346158E-2"/>
              <c:y val="-2.090377383894354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4.9395976982900838E-2"/>
              <c:y val="-5.8530566749041842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6.1744971228626074E-3"/>
              <c:y val="-7.1072831052407942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dLbl>
          <c:idx val="0"/>
          <c:layout>
            <c:manualLayout>
              <c:x val="2.0581657076208597E-3"/>
              <c:y val="-2.5084528606732277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3.7046982737175639E-2"/>
              <c:y val="-3.7626792910098301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5.1454142690521724E-2"/>
              <c:y val="-4.1807547677886997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2.0581657076208688E-3"/>
              <c:y val="-2.92652833745209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3.9105148444796511E-2"/>
              <c:y val="-1.25422643033661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3"/>
          </a:solidFill>
          <a:ln>
            <a:noFill/>
          </a:ln>
          <a:effectLst/>
        </c:spPr>
        <c:dLbl>
          <c:idx val="0"/>
          <c:layout>
            <c:manualLayout>
              <c:x val="2.8660888493991059E-2"/>
              <c:y val="-2.0799683975825198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Table'!$D$22:$D$23</c:f>
              <c:strCache>
                <c:ptCount val="1"/>
                <c:pt idx="0">
                  <c:v>Breakfast</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A-5737-4D4E-B257-54660AF8A206}"/>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C-5737-4D4E-B257-54660AF8A206}"/>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7-5737-4D4E-B257-54660AF8A206}"/>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5-5737-4D4E-B257-54660AF8A206}"/>
              </c:ext>
            </c:extLst>
          </c:dPt>
          <c:dLbls>
            <c:dLbl>
              <c:idx val="0"/>
              <c:layout>
                <c:manualLayout>
                  <c:x val="-6.1744971228626074E-3"/>
                  <c:y val="-7.107283105240794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737-4D4E-B257-54660AF8A206}"/>
                </c:ext>
              </c:extLst>
            </c:dLbl>
            <c:dLbl>
              <c:idx val="1"/>
              <c:layout>
                <c:manualLayout>
                  <c:x val="-3.7046982737175639E-2"/>
                  <c:y val="-3.76267929100983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5737-4D4E-B257-54660AF8A206}"/>
                </c:ext>
              </c:extLst>
            </c:dLbl>
            <c:dLbl>
              <c:idx val="2"/>
              <c:layout>
                <c:manualLayout>
                  <c:x val="-6.7919468351488682E-2"/>
                  <c:y val="-9.197660489135142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737-4D4E-B257-54660AF8A206}"/>
                </c:ext>
              </c:extLst>
            </c:dLbl>
            <c:dLbl>
              <c:idx val="3"/>
              <c:layout>
                <c:manualLayout>
                  <c:x val="-1.4407159953346158E-2"/>
                  <c:y val="-4.180754767788701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737-4D4E-B257-54660AF8A206}"/>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Table'!$C$24:$C$27</c:f>
              <c:strCache>
                <c:ptCount val="4"/>
                <c:pt idx="0">
                  <c:v>Diabetic_Active</c:v>
                </c:pt>
                <c:pt idx="1">
                  <c:v>Diabetic_NotActive</c:v>
                </c:pt>
                <c:pt idx="2">
                  <c:v>NonDiabetic_Active</c:v>
                </c:pt>
                <c:pt idx="3">
                  <c:v>NonDiabetic_NotActive</c:v>
                </c:pt>
              </c:strCache>
            </c:strRef>
          </c:cat>
          <c:val>
            <c:numRef>
              <c:f>'Pivot Table'!$D$24:$D$27</c:f>
              <c:numCache>
                <c:formatCode>General</c:formatCode>
                <c:ptCount val="4"/>
                <c:pt idx="0">
                  <c:v>49.571428571428569</c:v>
                </c:pt>
                <c:pt idx="1">
                  <c:v>45.857142857142854</c:v>
                </c:pt>
                <c:pt idx="2">
                  <c:v>53.785714285714285</c:v>
                </c:pt>
                <c:pt idx="3">
                  <c:v>59.142857142857146</c:v>
                </c:pt>
              </c:numCache>
            </c:numRef>
          </c:val>
          <c:extLst>
            <c:ext xmlns:c16="http://schemas.microsoft.com/office/drawing/2014/chart" uri="{C3380CC4-5D6E-409C-BE32-E72D297353CC}">
              <c16:uniqueId val="{00000000-5737-4D4E-B257-54660AF8A206}"/>
            </c:ext>
          </c:extLst>
        </c:ser>
        <c:ser>
          <c:idx val="1"/>
          <c:order val="1"/>
          <c:tx>
            <c:strRef>
              <c:f>'Pivot Table'!$E$22:$E$23</c:f>
              <c:strCache>
                <c:ptCount val="1"/>
                <c:pt idx="0">
                  <c:v>Dinner</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0-6832-4E83-BB47-2E66B244A61F}"/>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1-6832-4E83-BB47-2E66B244A61F}"/>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2-6832-4E83-BB47-2E66B244A61F}"/>
              </c:ext>
            </c:extLst>
          </c:dPt>
          <c:dLbls>
            <c:dLbl>
              <c:idx val="0"/>
              <c:layout>
                <c:manualLayout>
                  <c:x val="2.0581657076208597E-3"/>
                  <c:y val="-2.508452860673227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32-4E83-BB47-2E66B244A61F}"/>
                </c:ext>
              </c:extLst>
            </c:dLbl>
            <c:dLbl>
              <c:idx val="1"/>
              <c:layout>
                <c:manualLayout>
                  <c:x val="-2.0581657076208688E-3"/>
                  <c:y val="-2.926528337452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32-4E83-BB47-2E66B244A61F}"/>
                </c:ext>
              </c:extLst>
            </c:dLbl>
            <c:dLbl>
              <c:idx val="2"/>
              <c:layout>
                <c:manualLayout>
                  <c:x val="-1.4407159953346158E-2"/>
                  <c:y val="-2.09037738389435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32-4E83-BB47-2E66B244A61F}"/>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Table'!$C$24:$C$27</c:f>
              <c:strCache>
                <c:ptCount val="4"/>
                <c:pt idx="0">
                  <c:v>Diabetic_Active</c:v>
                </c:pt>
                <c:pt idx="1">
                  <c:v>Diabetic_NotActive</c:v>
                </c:pt>
                <c:pt idx="2">
                  <c:v>NonDiabetic_Active</c:v>
                </c:pt>
                <c:pt idx="3">
                  <c:v>NonDiabetic_NotActive</c:v>
                </c:pt>
              </c:strCache>
            </c:strRef>
          </c:cat>
          <c:val>
            <c:numRef>
              <c:f>'Pivot Table'!$E$24:$E$27</c:f>
              <c:numCache>
                <c:formatCode>General</c:formatCode>
                <c:ptCount val="4"/>
                <c:pt idx="0">
                  <c:v>48.285714285714285</c:v>
                </c:pt>
                <c:pt idx="1">
                  <c:v>43.071428571428569</c:v>
                </c:pt>
                <c:pt idx="2">
                  <c:v>53.571428571428569</c:v>
                </c:pt>
                <c:pt idx="3">
                  <c:v>58.5</c:v>
                </c:pt>
              </c:numCache>
            </c:numRef>
          </c:val>
          <c:extLst>
            <c:ext xmlns:c16="http://schemas.microsoft.com/office/drawing/2014/chart" uri="{C3380CC4-5D6E-409C-BE32-E72D297353CC}">
              <c16:uniqueId val="{00000014-5737-4D4E-B257-54660AF8A206}"/>
            </c:ext>
          </c:extLst>
        </c:ser>
        <c:ser>
          <c:idx val="2"/>
          <c:order val="2"/>
          <c:tx>
            <c:strRef>
              <c:f>'Pivot Table'!$F$22:$F$23</c:f>
              <c:strCache>
                <c:ptCount val="1"/>
                <c:pt idx="0">
                  <c:v>Lunch</c:v>
                </c:pt>
              </c:strCache>
            </c:strRef>
          </c:tx>
          <c:spPr>
            <a:solidFill>
              <a:schemeClr val="accent3"/>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3-6832-4E83-BB47-2E66B244A61F}"/>
              </c:ext>
            </c:extLst>
          </c:dPt>
          <c:dPt>
            <c:idx val="1"/>
            <c:invertIfNegative val="0"/>
            <c:bubble3D val="0"/>
            <c:spPr>
              <a:solidFill>
                <a:schemeClr val="accent3"/>
              </a:solidFill>
              <a:ln>
                <a:noFill/>
              </a:ln>
              <a:effectLst/>
            </c:spPr>
            <c:extLst>
              <c:ext xmlns:c16="http://schemas.microsoft.com/office/drawing/2014/chart" uri="{C3380CC4-5D6E-409C-BE32-E72D297353CC}">
                <c16:uniqueId val="{00000004-6832-4E83-BB47-2E66B244A61F}"/>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6832-4E83-BB47-2E66B244A61F}"/>
              </c:ext>
            </c:extLst>
          </c:dPt>
          <c:dLbls>
            <c:dLbl>
              <c:idx val="0"/>
              <c:layout>
                <c:manualLayout>
                  <c:x val="4.9395976982900838E-2"/>
                  <c:y val="-5.853056674904184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32-4E83-BB47-2E66B244A61F}"/>
                </c:ext>
              </c:extLst>
            </c:dLbl>
            <c:dLbl>
              <c:idx val="1"/>
              <c:layout>
                <c:manualLayout>
                  <c:x val="5.1454142690521724E-2"/>
                  <c:y val="-4.18075476778869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32-4E83-BB47-2E66B244A61F}"/>
                </c:ext>
              </c:extLst>
            </c:dLbl>
            <c:dLbl>
              <c:idx val="2"/>
              <c:layout>
                <c:manualLayout>
                  <c:x val="2.0581657076208688E-3"/>
                  <c:y val="-7.1072831052407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32-4E83-BB47-2E66B244A61F}"/>
                </c:ext>
              </c:extLst>
            </c:dLbl>
            <c:dLbl>
              <c:idx val="3"/>
              <c:layout>
                <c:manualLayout>
                  <c:x val="2.8660888493991059E-2"/>
                  <c:y val="-2.079968397582519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832-4E83-BB47-2E66B244A61F}"/>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Table'!$C$24:$C$27</c:f>
              <c:strCache>
                <c:ptCount val="4"/>
                <c:pt idx="0">
                  <c:v>Diabetic_Active</c:v>
                </c:pt>
                <c:pt idx="1">
                  <c:v>Diabetic_NotActive</c:v>
                </c:pt>
                <c:pt idx="2">
                  <c:v>NonDiabetic_Active</c:v>
                </c:pt>
                <c:pt idx="3">
                  <c:v>NonDiabetic_NotActive</c:v>
                </c:pt>
              </c:strCache>
            </c:strRef>
          </c:cat>
          <c:val>
            <c:numRef>
              <c:f>'Pivot Table'!$F$24:$F$27</c:f>
              <c:numCache>
                <c:formatCode>General</c:formatCode>
                <c:ptCount val="4"/>
                <c:pt idx="0">
                  <c:v>51.214285714285715</c:v>
                </c:pt>
                <c:pt idx="1">
                  <c:v>46.357142857142854</c:v>
                </c:pt>
                <c:pt idx="2">
                  <c:v>57.142857142857146</c:v>
                </c:pt>
                <c:pt idx="3">
                  <c:v>60.5</c:v>
                </c:pt>
              </c:numCache>
            </c:numRef>
          </c:val>
          <c:extLst>
            <c:ext xmlns:c16="http://schemas.microsoft.com/office/drawing/2014/chart" uri="{C3380CC4-5D6E-409C-BE32-E72D297353CC}">
              <c16:uniqueId val="{00000015-5737-4D4E-B257-54660AF8A206}"/>
            </c:ext>
          </c:extLst>
        </c:ser>
        <c:ser>
          <c:idx val="3"/>
          <c:order val="3"/>
          <c:tx>
            <c:strRef>
              <c:f>'Pivot Table'!$G$22:$G$23</c:f>
              <c:strCache>
                <c:ptCount val="1"/>
                <c:pt idx="0">
                  <c:v>Snack</c:v>
                </c:pt>
              </c:strCache>
            </c:strRef>
          </c:tx>
          <c:spPr>
            <a:solidFill>
              <a:schemeClr val="accent4"/>
            </a:solidFill>
            <a:ln>
              <a:noFill/>
            </a:ln>
            <a:effectLst/>
          </c:spPr>
          <c:invertIfNegative val="0"/>
          <c:dPt>
            <c:idx val="1"/>
            <c:invertIfNegative val="0"/>
            <c:bubble3D val="0"/>
            <c:spPr>
              <a:solidFill>
                <a:schemeClr val="accent4"/>
              </a:solidFill>
              <a:ln>
                <a:noFill/>
              </a:ln>
              <a:effectLst/>
            </c:spPr>
            <c:extLst>
              <c:ext xmlns:c16="http://schemas.microsoft.com/office/drawing/2014/chart" uri="{C3380CC4-5D6E-409C-BE32-E72D297353CC}">
                <c16:uniqueId val="{00000006-6832-4E83-BB47-2E66B244A61F}"/>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6832-4E83-BB47-2E66B244A61F}"/>
              </c:ext>
            </c:extLst>
          </c:dPt>
          <c:dLbls>
            <c:dLbl>
              <c:idx val="1"/>
              <c:layout>
                <c:manualLayout>
                  <c:x val="3.9105148444796511E-2"/>
                  <c:y val="-1.254226430336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32-4E83-BB47-2E66B244A61F}"/>
                </c:ext>
              </c:extLst>
            </c:dLbl>
            <c:dLbl>
              <c:idx val="3"/>
              <c:layout>
                <c:manualLayout>
                  <c:x val="5.1454142690521572E-2"/>
                  <c:y val="-8.361509535577437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32-4E83-BB47-2E66B244A61F}"/>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Table'!$C$24:$C$27</c:f>
              <c:strCache>
                <c:ptCount val="4"/>
                <c:pt idx="0">
                  <c:v>Diabetic_Active</c:v>
                </c:pt>
                <c:pt idx="1">
                  <c:v>Diabetic_NotActive</c:v>
                </c:pt>
                <c:pt idx="2">
                  <c:v>NonDiabetic_Active</c:v>
                </c:pt>
                <c:pt idx="3">
                  <c:v>NonDiabetic_NotActive</c:v>
                </c:pt>
              </c:strCache>
            </c:strRef>
          </c:cat>
          <c:val>
            <c:numRef>
              <c:f>'Pivot Table'!$G$24:$G$27</c:f>
              <c:numCache>
                <c:formatCode>General</c:formatCode>
                <c:ptCount val="4"/>
                <c:pt idx="0">
                  <c:v>43.5</c:v>
                </c:pt>
                <c:pt idx="1">
                  <c:v>39.714285714285715</c:v>
                </c:pt>
                <c:pt idx="2">
                  <c:v>50</c:v>
                </c:pt>
                <c:pt idx="3">
                  <c:v>50.714285714285715</c:v>
                </c:pt>
              </c:numCache>
            </c:numRef>
          </c:val>
          <c:extLst>
            <c:ext xmlns:c16="http://schemas.microsoft.com/office/drawing/2014/chart" uri="{C3380CC4-5D6E-409C-BE32-E72D297353CC}">
              <c16:uniqueId val="{00000016-5737-4D4E-B257-54660AF8A206}"/>
            </c:ext>
          </c:extLst>
        </c:ser>
        <c:dLbls>
          <c:dLblPos val="outEnd"/>
          <c:showLegendKey val="0"/>
          <c:showVal val="1"/>
          <c:showCatName val="0"/>
          <c:showSerName val="0"/>
          <c:showPercent val="0"/>
          <c:showBubbleSize val="0"/>
        </c:dLbls>
        <c:gapWidth val="219"/>
        <c:overlap val="-27"/>
        <c:axId val="1466816351"/>
        <c:axId val="1466818271"/>
      </c:barChart>
      <c:catAx>
        <c:axId val="1466816351"/>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466818271"/>
        <c:crosses val="autoZero"/>
        <c:auto val="1"/>
        <c:lblAlgn val="ctr"/>
        <c:lblOffset val="100"/>
        <c:noMultiLvlLbl val="0"/>
      </c:catAx>
      <c:valAx>
        <c:axId val="14668182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466816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[Diabetic.xlsx]Pivot Table!PivotTable5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chemeClr val="tx1"/>
                </a:solidFill>
              </a:rPr>
              <a:t>Find out Total Veg and Non-veg calories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s>
    <c:plotArea>
      <c:layout/>
      <c:barChart>
        <c:barDir val="bar"/>
        <c:grouping val="clustered"/>
        <c:varyColors val="0"/>
        <c:ser>
          <c:idx val="0"/>
          <c:order val="0"/>
          <c:tx>
            <c:strRef>
              <c:f>'Pivot Table'!$D$29</c:f>
              <c:strCache>
                <c:ptCount val="1"/>
                <c:pt idx="0">
                  <c:v>Total</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8398-42BC-AC5E-EFF1D18E8290}"/>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Table'!$C$30:$C$31</c:f>
              <c:strCache>
                <c:ptCount val="2"/>
                <c:pt idx="0">
                  <c:v>Non-Veg</c:v>
                </c:pt>
                <c:pt idx="1">
                  <c:v>Veg</c:v>
                </c:pt>
              </c:strCache>
            </c:strRef>
          </c:cat>
          <c:val>
            <c:numRef>
              <c:f>'Pivot Table'!$D$30:$D$31</c:f>
              <c:numCache>
                <c:formatCode>General</c:formatCode>
                <c:ptCount val="2"/>
                <c:pt idx="0">
                  <c:v>40471.199999999997</c:v>
                </c:pt>
                <c:pt idx="1">
                  <c:v>37144.80000000001</c:v>
                </c:pt>
              </c:numCache>
            </c:numRef>
          </c:val>
          <c:extLst>
            <c:ext xmlns:c16="http://schemas.microsoft.com/office/drawing/2014/chart" uri="{C3380CC4-5D6E-409C-BE32-E72D297353CC}">
              <c16:uniqueId val="{00000000-8398-42BC-AC5E-EFF1D18E8290}"/>
            </c:ext>
          </c:extLst>
        </c:ser>
        <c:dLbls>
          <c:dLblPos val="outEnd"/>
          <c:showLegendKey val="0"/>
          <c:showVal val="1"/>
          <c:showCatName val="0"/>
          <c:showSerName val="0"/>
          <c:showPercent val="0"/>
          <c:showBubbleSize val="0"/>
        </c:dLbls>
        <c:gapWidth val="182"/>
        <c:axId val="1512577103"/>
        <c:axId val="1512574703"/>
      </c:barChart>
      <c:catAx>
        <c:axId val="1512577103"/>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512574703"/>
        <c:crosses val="autoZero"/>
        <c:auto val="1"/>
        <c:lblAlgn val="ctr"/>
        <c:lblOffset val="100"/>
        <c:noMultiLvlLbl val="0"/>
      </c:catAx>
      <c:valAx>
        <c:axId val="1512574703"/>
        <c:scaling>
          <c:orientation val="minMax"/>
        </c:scaling>
        <c:delete val="0"/>
        <c:axPos val="b"/>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512577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png"/><Relationship Id="rId3" Type="http://schemas.openxmlformats.org/officeDocument/2006/relationships/chart" Target="../charts/chart3.xml"/><Relationship Id="rId7" Type="http://schemas.openxmlformats.org/officeDocument/2006/relationships/image" Target="../media/image2.pn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pn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38100</xdr:rowOff>
    </xdr:from>
    <xdr:to>
      <xdr:col>16</xdr:col>
      <xdr:colOff>53340</xdr:colOff>
      <xdr:row>28</xdr:row>
      <xdr:rowOff>68580</xdr:rowOff>
    </xdr:to>
    <xdr:sp macro="" textlink="">
      <xdr:nvSpPr>
        <xdr:cNvPr id="3" name="Rectangle 2">
          <a:extLst>
            <a:ext uri="{FF2B5EF4-FFF2-40B4-BE49-F238E27FC236}">
              <a16:creationId xmlns:a16="http://schemas.microsoft.com/office/drawing/2014/main" id="{D8404392-BEA0-3894-E4EC-2EF76A28143B}"/>
            </a:ext>
          </a:extLst>
        </xdr:cNvPr>
        <xdr:cNvSpPr/>
      </xdr:nvSpPr>
      <xdr:spPr>
        <a:xfrm>
          <a:off x="38100" y="38100"/>
          <a:ext cx="12694920" cy="6431280"/>
        </a:xfrm>
        <a:prstGeom prst="rect">
          <a:avLst/>
        </a:prstGeom>
        <a:ln w="57150"/>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endParaRPr lang="en-US" sz="3600" b="1" cap="none" spc="0">
            <a:ln w="0"/>
            <a:solidFill>
              <a:schemeClr val="tx2"/>
            </a:solidFill>
            <a:effectLst>
              <a:outerShdw blurRad="38100" dist="19050" dir="2700000" algn="tl" rotWithShape="0">
                <a:schemeClr val="dk1">
                  <a:alpha val="40000"/>
                </a:schemeClr>
              </a:outerShdw>
            </a:effectLst>
          </a:endParaRPr>
        </a:p>
      </xdr:txBody>
    </xdr:sp>
    <xdr:clientData/>
  </xdr:twoCellAnchor>
  <xdr:twoCellAnchor>
    <xdr:from>
      <xdr:col>2</xdr:col>
      <xdr:colOff>358588</xdr:colOff>
      <xdr:row>4</xdr:row>
      <xdr:rowOff>46808</xdr:rowOff>
    </xdr:from>
    <xdr:to>
      <xdr:col>6</xdr:col>
      <xdr:colOff>502919</xdr:colOff>
      <xdr:row>13</xdr:row>
      <xdr:rowOff>185075</xdr:rowOff>
    </xdr:to>
    <xdr:graphicFrame macro="">
      <xdr:nvGraphicFramePr>
        <xdr:cNvPr id="4" name="Chart 3">
          <a:extLst>
            <a:ext uri="{FF2B5EF4-FFF2-40B4-BE49-F238E27FC236}">
              <a16:creationId xmlns:a16="http://schemas.microsoft.com/office/drawing/2014/main" id="{4189D0F4-DC31-466D-AF82-A3E6632B45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620486</xdr:colOff>
      <xdr:row>4</xdr:row>
      <xdr:rowOff>57694</xdr:rowOff>
    </xdr:from>
    <xdr:to>
      <xdr:col>11</xdr:col>
      <xdr:colOff>114299</xdr:colOff>
      <xdr:row>13</xdr:row>
      <xdr:rowOff>199964</xdr:rowOff>
    </xdr:to>
    <xdr:graphicFrame macro="">
      <xdr:nvGraphicFramePr>
        <xdr:cNvPr id="5" name="Chart 4">
          <a:extLst>
            <a:ext uri="{FF2B5EF4-FFF2-40B4-BE49-F238E27FC236}">
              <a16:creationId xmlns:a16="http://schemas.microsoft.com/office/drawing/2014/main" id="{9CDB9D00-4042-4B0C-998C-55AEB7EC0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228600</xdr:colOff>
      <xdr:row>4</xdr:row>
      <xdr:rowOff>65314</xdr:rowOff>
    </xdr:from>
    <xdr:to>
      <xdr:col>15</xdr:col>
      <xdr:colOff>563880</xdr:colOff>
      <xdr:row>14</xdr:row>
      <xdr:rowOff>0</xdr:rowOff>
    </xdr:to>
    <xdr:graphicFrame macro="">
      <xdr:nvGraphicFramePr>
        <xdr:cNvPr id="6" name="Chart 5">
          <a:extLst>
            <a:ext uri="{FF2B5EF4-FFF2-40B4-BE49-F238E27FC236}">
              <a16:creationId xmlns:a16="http://schemas.microsoft.com/office/drawing/2014/main" id="{51C6B1F4-B02B-46E2-80B8-EC5F59CD78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385483</xdr:colOff>
      <xdr:row>14</xdr:row>
      <xdr:rowOff>91440</xdr:rowOff>
    </xdr:from>
    <xdr:to>
      <xdr:col>10</xdr:col>
      <xdr:colOff>277906</xdr:colOff>
      <xdr:row>27</xdr:row>
      <xdr:rowOff>114300</xdr:rowOff>
    </xdr:to>
    <xdr:graphicFrame macro="">
      <xdr:nvGraphicFramePr>
        <xdr:cNvPr id="7" name="Chart 6">
          <a:extLst>
            <a:ext uri="{FF2B5EF4-FFF2-40B4-BE49-F238E27FC236}">
              <a16:creationId xmlns:a16="http://schemas.microsoft.com/office/drawing/2014/main" id="{20572AEB-E189-4821-9CBD-6C8431A4E9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412377</xdr:colOff>
      <xdr:row>14</xdr:row>
      <xdr:rowOff>106680</xdr:rowOff>
    </xdr:from>
    <xdr:to>
      <xdr:col>15</xdr:col>
      <xdr:colOff>560295</xdr:colOff>
      <xdr:row>27</xdr:row>
      <xdr:rowOff>99060</xdr:rowOff>
    </xdr:to>
    <xdr:graphicFrame macro="">
      <xdr:nvGraphicFramePr>
        <xdr:cNvPr id="9" name="Chart 8">
          <a:extLst>
            <a:ext uri="{FF2B5EF4-FFF2-40B4-BE49-F238E27FC236}">
              <a16:creationId xmlns:a16="http://schemas.microsoft.com/office/drawing/2014/main" id="{453603A0-081F-47FD-9BE2-51C25EEDF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277904</xdr:colOff>
      <xdr:row>0</xdr:row>
      <xdr:rowOff>206188</xdr:rowOff>
    </xdr:from>
    <xdr:to>
      <xdr:col>14</xdr:col>
      <xdr:colOff>259975</xdr:colOff>
      <xdr:row>3</xdr:row>
      <xdr:rowOff>98611</xdr:rowOff>
    </xdr:to>
    <xdr:sp macro="" textlink="">
      <xdr:nvSpPr>
        <xdr:cNvPr id="13" name="Rectangle: Rounded Corners 12">
          <a:extLst>
            <a:ext uri="{FF2B5EF4-FFF2-40B4-BE49-F238E27FC236}">
              <a16:creationId xmlns:a16="http://schemas.microsoft.com/office/drawing/2014/main" id="{E4932A7E-CA7E-D6F1-AAFB-D569856A8B37}"/>
            </a:ext>
          </a:extLst>
        </xdr:cNvPr>
        <xdr:cNvSpPr/>
      </xdr:nvSpPr>
      <xdr:spPr>
        <a:xfrm>
          <a:off x="2655344" y="206188"/>
          <a:ext cx="8699351" cy="578223"/>
        </a:xfrm>
        <a:prstGeom prst="roundRect">
          <a:avLst>
            <a:gd name="adj"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200" b="1">
              <a:solidFill>
                <a:schemeClr val="lt1"/>
              </a:solidFill>
              <a:effectLst>
                <a:outerShdw blurRad="38100" dist="19050" dir="2700000" algn="tl" rotWithShape="0">
                  <a:schemeClr val="dk1">
                    <a:alpha val="40000"/>
                  </a:schemeClr>
                </a:outerShdw>
              </a:effectLst>
              <a:latin typeface="+mn-lt"/>
              <a:ea typeface="+mn-ea"/>
              <a:cs typeface="+mn-cs"/>
            </a:rPr>
            <a:t>Diabetes Nutrition &amp;</a:t>
          </a:r>
          <a:r>
            <a:rPr lang="en-US" sz="3200" b="1" baseline="0">
              <a:solidFill>
                <a:schemeClr val="lt1"/>
              </a:solidFill>
              <a:effectLst>
                <a:outerShdw blurRad="38100" dist="19050" dir="2700000" algn="tl" rotWithShape="0">
                  <a:schemeClr val="dk1">
                    <a:alpha val="40000"/>
                  </a:schemeClr>
                </a:outerShdw>
              </a:effectLst>
              <a:latin typeface="+mn-lt"/>
              <a:ea typeface="+mn-ea"/>
              <a:cs typeface="+mn-cs"/>
            </a:rPr>
            <a:t> Glycemic Control Analysis</a:t>
          </a:r>
          <a:endParaRPr lang="en-US" sz="3200">
            <a:effectLst/>
          </a:endParaRPr>
        </a:p>
        <a:p>
          <a:pPr algn="l"/>
          <a:endParaRPr lang="en-US" sz="1100"/>
        </a:p>
      </xdr:txBody>
    </xdr:sp>
    <xdr:clientData/>
  </xdr:twoCellAnchor>
  <xdr:twoCellAnchor editAs="oneCell">
    <xdr:from>
      <xdr:col>0</xdr:col>
      <xdr:colOff>182618</xdr:colOff>
      <xdr:row>16</xdr:row>
      <xdr:rowOff>220980</xdr:rowOff>
    </xdr:from>
    <xdr:to>
      <xdr:col>2</xdr:col>
      <xdr:colOff>251689</xdr:colOff>
      <xdr:row>21</xdr:row>
      <xdr:rowOff>175259</xdr:rowOff>
    </xdr:to>
    <mc:AlternateContent xmlns:mc="http://schemas.openxmlformats.org/markup-compatibility/2006" xmlns:a14="http://schemas.microsoft.com/office/drawing/2010/main">
      <mc:Choice Requires="a14">
        <xdr:graphicFrame macro="">
          <xdr:nvGraphicFramePr>
            <xdr:cNvPr id="17" name="Veg_NonVeg">
              <a:extLst>
                <a:ext uri="{FF2B5EF4-FFF2-40B4-BE49-F238E27FC236}">
                  <a16:creationId xmlns:a16="http://schemas.microsoft.com/office/drawing/2014/main" id="{9EF1C908-C172-D2A5-85C9-E424585EFB52}"/>
                </a:ext>
              </a:extLst>
            </xdr:cNvPr>
            <xdr:cNvGraphicFramePr/>
          </xdr:nvGraphicFramePr>
          <xdr:xfrm>
            <a:off x="0" y="0"/>
            <a:ext cx="0" cy="0"/>
          </xdr:xfrm>
          <a:graphic>
            <a:graphicData uri="http://schemas.microsoft.com/office/drawing/2010/slicer">
              <sle:slicer xmlns:sle="http://schemas.microsoft.com/office/drawing/2010/slicer" name="Veg_NonVeg"/>
            </a:graphicData>
          </a:graphic>
        </xdr:graphicFrame>
      </mc:Choice>
      <mc:Fallback xmlns="">
        <xdr:sp macro="" textlink="">
          <xdr:nvSpPr>
            <xdr:cNvPr id="0" name=""/>
            <xdr:cNvSpPr>
              <a:spLocks noTextEdit="1"/>
            </xdr:cNvSpPr>
          </xdr:nvSpPr>
          <xdr:spPr>
            <a:xfrm>
              <a:off x="182618" y="3950298"/>
              <a:ext cx="1646859" cy="11196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182880</xdr:colOff>
      <xdr:row>8</xdr:row>
      <xdr:rowOff>99061</xdr:rowOff>
    </xdr:from>
    <xdr:to>
      <xdr:col>2</xdr:col>
      <xdr:colOff>259080</xdr:colOff>
      <xdr:row>16</xdr:row>
      <xdr:rowOff>7620</xdr:rowOff>
    </xdr:to>
    <mc:AlternateContent xmlns:mc="http://schemas.openxmlformats.org/markup-compatibility/2006" xmlns:a14="http://schemas.microsoft.com/office/drawing/2010/main">
      <mc:Choice Requires="a14">
        <xdr:graphicFrame macro="">
          <xdr:nvGraphicFramePr>
            <xdr:cNvPr id="18" name="Meal">
              <a:extLst>
                <a:ext uri="{FF2B5EF4-FFF2-40B4-BE49-F238E27FC236}">
                  <a16:creationId xmlns:a16="http://schemas.microsoft.com/office/drawing/2014/main" id="{4CFA2B11-D61D-FCDD-42A2-3FD246D2359C}"/>
                </a:ext>
              </a:extLst>
            </xdr:cNvPr>
            <xdr:cNvGraphicFramePr/>
          </xdr:nvGraphicFramePr>
          <xdr:xfrm>
            <a:off x="0" y="0"/>
            <a:ext cx="0" cy="0"/>
          </xdr:xfrm>
          <a:graphic>
            <a:graphicData uri="http://schemas.microsoft.com/office/drawing/2010/slicer">
              <sle:slicer xmlns:sle="http://schemas.microsoft.com/office/drawing/2010/slicer" name="Meal"/>
            </a:graphicData>
          </a:graphic>
        </xdr:graphicFrame>
      </mc:Choice>
      <mc:Fallback xmlns="">
        <xdr:sp macro="" textlink="">
          <xdr:nvSpPr>
            <xdr:cNvPr id="0" name=""/>
            <xdr:cNvSpPr>
              <a:spLocks noTextEdit="1"/>
            </xdr:cNvSpPr>
          </xdr:nvSpPr>
          <xdr:spPr>
            <a:xfrm>
              <a:off x="182880" y="1963720"/>
              <a:ext cx="1653988" cy="17732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190500</xdr:colOff>
      <xdr:row>3</xdr:row>
      <xdr:rowOff>91440</xdr:rowOff>
    </xdr:from>
    <xdr:to>
      <xdr:col>11</xdr:col>
      <xdr:colOff>701040</xdr:colOff>
      <xdr:row>5</xdr:row>
      <xdr:rowOff>144780</xdr:rowOff>
    </xdr:to>
    <xdr:pic>
      <xdr:nvPicPr>
        <xdr:cNvPr id="20" name="Picture 19">
          <a:extLst>
            <a:ext uri="{FF2B5EF4-FFF2-40B4-BE49-F238E27FC236}">
              <a16:creationId xmlns:a16="http://schemas.microsoft.com/office/drawing/2014/main" id="{8AA47626-E2DA-5A2E-37FA-CD1E7E6C763C}"/>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907780" y="777240"/>
          <a:ext cx="510540" cy="510540"/>
        </a:xfrm>
        <a:prstGeom prst="rect">
          <a:avLst/>
        </a:prstGeom>
      </xdr:spPr>
    </xdr:pic>
    <xdr:clientData/>
  </xdr:twoCellAnchor>
  <xdr:twoCellAnchor editAs="oneCell">
    <xdr:from>
      <xdr:col>3</xdr:col>
      <xdr:colOff>68580</xdr:colOff>
      <xdr:row>0</xdr:row>
      <xdr:rowOff>175260</xdr:rowOff>
    </xdr:from>
    <xdr:to>
      <xdr:col>3</xdr:col>
      <xdr:colOff>643963</xdr:colOff>
      <xdr:row>3</xdr:row>
      <xdr:rowOff>64843</xdr:rowOff>
    </xdr:to>
    <xdr:pic>
      <xdr:nvPicPr>
        <xdr:cNvPr id="22" name="Picture 21">
          <a:extLst>
            <a:ext uri="{FF2B5EF4-FFF2-40B4-BE49-F238E27FC236}">
              <a16:creationId xmlns:a16="http://schemas.microsoft.com/office/drawing/2014/main" id="{0EC78E3B-0FE9-4B9C-6D4A-CB9AEA06943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446020" y="175260"/>
          <a:ext cx="575383" cy="575383"/>
        </a:xfrm>
        <a:prstGeom prst="rect">
          <a:avLst/>
        </a:prstGeom>
      </xdr:spPr>
    </xdr:pic>
    <xdr:clientData/>
  </xdr:twoCellAnchor>
  <xdr:twoCellAnchor editAs="oneCell">
    <xdr:from>
      <xdr:col>10</xdr:col>
      <xdr:colOff>289560</xdr:colOff>
      <xdr:row>13</xdr:row>
      <xdr:rowOff>160020</xdr:rowOff>
    </xdr:from>
    <xdr:to>
      <xdr:col>11</xdr:col>
      <xdr:colOff>83820</xdr:colOff>
      <xdr:row>16</xdr:row>
      <xdr:rowOff>60960</xdr:rowOff>
    </xdr:to>
    <xdr:pic>
      <xdr:nvPicPr>
        <xdr:cNvPr id="24" name="Picture 23">
          <a:extLst>
            <a:ext uri="{FF2B5EF4-FFF2-40B4-BE49-F238E27FC236}">
              <a16:creationId xmlns:a16="http://schemas.microsoft.com/office/drawing/2014/main" id="{41A54BB0-063C-5243-8972-212C24DB4414}"/>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214360" y="3131820"/>
          <a:ext cx="586740" cy="586740"/>
        </a:xfrm>
        <a:prstGeom prst="rect">
          <a:avLst/>
        </a:prstGeom>
      </xdr:spPr>
    </xdr:pic>
    <xdr:clientData/>
  </xdr:twoCellAnchor>
  <xdr:twoCellAnchor editAs="oneCell">
    <xdr:from>
      <xdr:col>2</xdr:col>
      <xdr:colOff>251460</xdr:colOff>
      <xdr:row>13</xdr:row>
      <xdr:rowOff>0</xdr:rowOff>
    </xdr:from>
    <xdr:to>
      <xdr:col>3</xdr:col>
      <xdr:colOff>22860</xdr:colOff>
      <xdr:row>15</xdr:row>
      <xdr:rowOff>106680</xdr:rowOff>
    </xdr:to>
    <xdr:pic>
      <xdr:nvPicPr>
        <xdr:cNvPr id="26" name="Picture 25">
          <a:extLst>
            <a:ext uri="{FF2B5EF4-FFF2-40B4-BE49-F238E27FC236}">
              <a16:creationId xmlns:a16="http://schemas.microsoft.com/office/drawing/2014/main" id="{015436CC-462D-A9AB-6AA1-372FE5BE96E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836420" y="2971800"/>
          <a:ext cx="563880" cy="563880"/>
        </a:xfrm>
        <a:prstGeom prst="rect">
          <a:avLst/>
        </a:prstGeom>
      </xdr:spPr>
    </xdr:pic>
    <xdr:clientData/>
  </xdr:twoCellAnchor>
  <xdr:twoCellAnchor editAs="oneCell">
    <xdr:from>
      <xdr:col>6</xdr:col>
      <xdr:colOff>518161</xdr:colOff>
      <xdr:row>3</xdr:row>
      <xdr:rowOff>131521</xdr:rowOff>
    </xdr:from>
    <xdr:to>
      <xdr:col>7</xdr:col>
      <xdr:colOff>320041</xdr:colOff>
      <xdr:row>6</xdr:row>
      <xdr:rowOff>40081</xdr:rowOff>
    </xdr:to>
    <xdr:pic>
      <xdr:nvPicPr>
        <xdr:cNvPr id="28" name="Picture 27">
          <a:extLst>
            <a:ext uri="{FF2B5EF4-FFF2-40B4-BE49-F238E27FC236}">
              <a16:creationId xmlns:a16="http://schemas.microsoft.com/office/drawing/2014/main" id="{A1EC2306-9C26-F1F3-DBC3-72EF42D391BB}"/>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273041" y="817321"/>
          <a:ext cx="594360" cy="594360"/>
        </a:xfrm>
        <a:prstGeom prst="rect">
          <a:avLst/>
        </a:prstGeom>
      </xdr:spPr>
    </xdr:pic>
    <xdr:clientData/>
  </xdr:twoCellAnchor>
  <xdr:twoCellAnchor editAs="oneCell">
    <xdr:from>
      <xdr:col>2</xdr:col>
      <xdr:colOff>91440</xdr:colOff>
      <xdr:row>3</xdr:row>
      <xdr:rowOff>83820</xdr:rowOff>
    </xdr:from>
    <xdr:to>
      <xdr:col>2</xdr:col>
      <xdr:colOff>647700</xdr:colOff>
      <xdr:row>5</xdr:row>
      <xdr:rowOff>182880</xdr:rowOff>
    </xdr:to>
    <xdr:pic>
      <xdr:nvPicPr>
        <xdr:cNvPr id="30" name="Picture 29">
          <a:extLst>
            <a:ext uri="{FF2B5EF4-FFF2-40B4-BE49-F238E27FC236}">
              <a16:creationId xmlns:a16="http://schemas.microsoft.com/office/drawing/2014/main" id="{091AFC65-4D6A-B0E7-CA4B-E4F61273D909}"/>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676400" y="769620"/>
          <a:ext cx="556260" cy="556260"/>
        </a:xfrm>
        <a:prstGeom prst="rect">
          <a:avLst/>
        </a:prstGeom>
      </xdr:spPr>
    </xdr:pic>
    <xdr:clientData/>
  </xdr:twoCellAnchor>
  <xdr:twoCellAnchor editAs="oneCell">
    <xdr:from>
      <xdr:col>13</xdr:col>
      <xdr:colOff>685800</xdr:colOff>
      <xdr:row>0</xdr:row>
      <xdr:rowOff>175260</xdr:rowOff>
    </xdr:from>
    <xdr:to>
      <xdr:col>14</xdr:col>
      <xdr:colOff>468703</xdr:colOff>
      <xdr:row>3</xdr:row>
      <xdr:rowOff>64843</xdr:rowOff>
    </xdr:to>
    <xdr:pic>
      <xdr:nvPicPr>
        <xdr:cNvPr id="31" name="Picture 30">
          <a:extLst>
            <a:ext uri="{FF2B5EF4-FFF2-40B4-BE49-F238E27FC236}">
              <a16:creationId xmlns:a16="http://schemas.microsoft.com/office/drawing/2014/main" id="{ADD66DD8-FBF0-4158-854E-3416FAB166B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988040" y="175260"/>
          <a:ext cx="575383" cy="575383"/>
        </a:xfrm>
        <a:prstGeom prst="rect">
          <a:avLst/>
        </a:prstGeom>
      </xdr:spPr>
    </xdr:pic>
    <xdr:clientData/>
  </xdr:twoCellAnchor>
  <xdr:twoCellAnchor editAs="oneCell">
    <xdr:from>
      <xdr:col>0</xdr:col>
      <xdr:colOff>243840</xdr:colOff>
      <xdr:row>1</xdr:row>
      <xdr:rowOff>198120</xdr:rowOff>
    </xdr:from>
    <xdr:to>
      <xdr:col>2</xdr:col>
      <xdr:colOff>30480</xdr:colOff>
      <xdr:row>7</xdr:row>
      <xdr:rowOff>198120</xdr:rowOff>
    </xdr:to>
    <xdr:pic>
      <xdr:nvPicPr>
        <xdr:cNvPr id="8" name="Picture 7">
          <a:extLst>
            <a:ext uri="{FF2B5EF4-FFF2-40B4-BE49-F238E27FC236}">
              <a16:creationId xmlns:a16="http://schemas.microsoft.com/office/drawing/2014/main" id="{12ADF6BF-5063-2E99-2D67-110C628517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243840" y="426720"/>
          <a:ext cx="1371600" cy="1371600"/>
        </a:xfrm>
        <a:prstGeom prst="rect">
          <a:avLst/>
        </a:prstGeom>
      </xdr:spPr>
    </xdr:pic>
    <xdr:clientData/>
  </xdr:twoCellAnchor>
  <xdr:twoCellAnchor editAs="oneCell">
    <xdr:from>
      <xdr:col>0</xdr:col>
      <xdr:colOff>459070</xdr:colOff>
      <xdr:row>22</xdr:row>
      <xdr:rowOff>67114</xdr:rowOff>
    </xdr:from>
    <xdr:to>
      <xdr:col>2</xdr:col>
      <xdr:colOff>20920</xdr:colOff>
      <xdr:row>27</xdr:row>
      <xdr:rowOff>70924</xdr:rowOff>
    </xdr:to>
    <xdr:pic>
      <xdr:nvPicPr>
        <xdr:cNvPr id="10" name="Picture 9">
          <a:extLst>
            <a:ext uri="{FF2B5EF4-FFF2-40B4-BE49-F238E27FC236}">
              <a16:creationId xmlns:a16="http://schemas.microsoft.com/office/drawing/2014/main" id="{05D56A5C-E8BA-42A2-B2CB-A8B96398D0C5}"/>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rot="4076060">
          <a:off x="459070" y="5096314"/>
          <a:ext cx="1146810" cy="114681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nab Chanda" refreshedDate="46033.675233101851" createdVersion="8" refreshedVersion="8" minRefreshableVersion="3" recordCount="224" xr:uid="{95A2573F-8CE1-47C8-A864-AC18794165A5}">
  <cacheSource type="worksheet">
    <worksheetSource name="Table2"/>
  </cacheSource>
  <cacheFields count="18">
    <cacheField name="Day_No" numFmtId="0">
      <sharedItems/>
    </cacheField>
    <cacheField name="Group_Status" numFmtId="0">
      <sharedItems count="4">
        <s v="Diabetic_NotActive"/>
        <s v="Diabetic_Active"/>
        <s v="NonDiabetic_NotActive"/>
        <s v="NonDiabetic_Active"/>
      </sharedItems>
    </cacheField>
    <cacheField name="Veg_NonVeg" numFmtId="0">
      <sharedItems count="2">
        <s v="Veg"/>
        <s v="Non-Veg"/>
      </sharedItems>
    </cacheField>
    <cacheField name="Meal" numFmtId="0">
      <sharedItems count="4">
        <s v="Breakfast"/>
        <s v="Lunch"/>
        <s v="Snack"/>
        <s v="Dinner"/>
      </sharedItems>
    </cacheField>
    <cacheField name="Time" numFmtId="18">
      <sharedItems containsSemiMixedTypes="0" containsNonDate="0" containsDate="1" containsString="0" minDate="1899-12-30T08:00:00" maxDate="1899-12-30T20:00:00"/>
    </cacheField>
    <cacheField name="Dish" numFmtId="0">
      <sharedItems/>
    </cacheField>
    <cacheField name="Calories" numFmtId="0">
      <sharedItems containsSemiMixedTypes="0" containsString="0" containsNumber="1" minValue="240" maxValue="489.6" count="49">
        <n v="336"/>
        <n v="345.6"/>
        <n v="339.5"/>
        <n v="349.2"/>
        <n v="343"/>
        <n v="352.8"/>
        <n v="346.5"/>
        <n v="356.4"/>
        <n v="350"/>
        <n v="360"/>
        <n v="353.5"/>
        <n v="363.6"/>
        <n v="357"/>
        <n v="367.2"/>
        <n v="403.2"/>
        <n v="460.8"/>
        <n v="407.4"/>
        <n v="465.6"/>
        <n v="411.6"/>
        <n v="470.4"/>
        <n v="415.8"/>
        <n v="475.2"/>
        <n v="420"/>
        <n v="480"/>
        <n v="424.2"/>
        <n v="484.8"/>
        <n v="428.4"/>
        <n v="489.6"/>
        <n v="240"/>
        <n v="259.2"/>
        <n v="242.5"/>
        <n v="261.89999999999998"/>
        <n v="245"/>
        <n v="264.60000000000002"/>
        <n v="247.5"/>
        <n v="267.3"/>
        <n v="250"/>
        <n v="270"/>
        <n v="252.5"/>
        <n v="272.7"/>
        <n v="255"/>
        <n v="275.39999999999998"/>
        <n v="307.2"/>
        <n v="310.39999999999998"/>
        <n v="313.60000000000002"/>
        <n v="316.8"/>
        <n v="320"/>
        <n v="323.2"/>
        <n v="326.39999999999998"/>
      </sharedItems>
    </cacheField>
    <cacheField name="Protein" numFmtId="0">
      <sharedItems containsSemiMixedTypes="0" containsString="0" containsNumber="1" minValue="14.4" maxValue="32.6" count="49">
        <n v="19.2"/>
        <n v="23"/>
        <n v="19.399999999999999"/>
        <n v="23.3"/>
        <n v="19.600000000000001"/>
        <n v="23.5"/>
        <n v="19.8"/>
        <n v="23.8"/>
        <n v="20"/>
        <n v="24"/>
        <n v="20.2"/>
        <n v="24.2"/>
        <n v="20.399999999999999"/>
        <n v="24.5"/>
        <n v="17.3"/>
        <n v="30.7"/>
        <n v="17.5"/>
        <n v="31"/>
        <n v="17.600000000000001"/>
        <n v="31.4"/>
        <n v="17.8"/>
        <n v="31.7"/>
        <n v="18"/>
        <n v="32"/>
        <n v="18.2"/>
        <n v="32.299999999999997"/>
        <n v="18.399999999999999"/>
        <n v="32.6"/>
        <n v="14.4"/>
        <n v="14.5"/>
        <n v="14.7"/>
        <n v="14.8"/>
        <n v="15"/>
        <n v="15.2"/>
        <n v="15.3"/>
        <n v="21.1"/>
        <n v="28.8"/>
        <n v="21.3"/>
        <n v="29.1"/>
        <n v="21.6"/>
        <n v="29.4"/>
        <n v="21.8"/>
        <n v="29.7"/>
        <n v="22"/>
        <n v="30"/>
        <n v="22.2"/>
        <n v="30.3"/>
        <n v="22.4"/>
        <n v="30.6"/>
      </sharedItems>
    </cacheField>
    <cacheField name="Carbs" numFmtId="0">
      <sharedItems containsSemiMixedTypes="0" containsString="0" containsNumber="1" minValue="9.6" maxValue="51" count="56">
        <n v="33.6"/>
        <n v="28.8"/>
        <n v="33.9"/>
        <n v="29.1"/>
        <n v="34.299999999999997"/>
        <n v="29.4"/>
        <n v="34.6"/>
        <n v="29.7"/>
        <n v="35"/>
        <n v="30"/>
        <n v="35.4"/>
        <n v="30.3"/>
        <n v="35.700000000000003"/>
        <n v="30.6"/>
        <n v="43.2"/>
        <n v="48"/>
        <n v="43.6"/>
        <n v="48.5"/>
        <n v="44.1"/>
        <n v="49"/>
        <n v="44.5"/>
        <n v="49.5"/>
        <n v="45"/>
        <n v="50"/>
        <n v="45.5"/>
        <n v="50.5"/>
        <n v="45.9"/>
        <n v="51"/>
        <n v="19.2"/>
        <n v="9.6"/>
        <n v="19.399999999999999"/>
        <n v="9.6999999999999993"/>
        <n v="19.600000000000001"/>
        <n v="9.8000000000000007"/>
        <n v="19.8"/>
        <n v="9.9"/>
        <n v="20"/>
        <n v="10"/>
        <n v="20.2"/>
        <n v="10.1"/>
        <n v="20.399999999999999"/>
        <n v="10.199999999999999"/>
        <n v="17.3"/>
        <n v="14.4"/>
        <n v="17.5"/>
        <n v="14.5"/>
        <n v="17.600000000000001"/>
        <n v="14.7"/>
        <n v="17.8"/>
        <n v="14.8"/>
        <n v="18"/>
        <n v="15"/>
        <n v="18.2"/>
        <n v="15.2"/>
        <n v="18.399999999999999"/>
        <n v="15.3"/>
      </sharedItems>
    </cacheField>
    <cacheField name="Fat" numFmtId="0">
      <sharedItems containsSemiMixedTypes="0" containsString="0" containsNumber="1" minValue="7.7" maxValue="15.3" count="34">
        <n v="11.5"/>
        <n v="9.6"/>
        <n v="11.6"/>
        <n v="9.6999999999999993"/>
        <n v="11.8"/>
        <n v="9.8000000000000007"/>
        <n v="11.9"/>
        <n v="9.9"/>
        <n v="12"/>
        <n v="10"/>
        <n v="12.1"/>
        <n v="10.1"/>
        <n v="12.2"/>
        <n v="10.199999999999999"/>
        <n v="13.4"/>
        <n v="13.6"/>
        <n v="13.7"/>
        <n v="13.9"/>
        <n v="14"/>
        <n v="14.1"/>
        <n v="14.3"/>
        <n v="7.7"/>
        <n v="14.4"/>
        <n v="7.8"/>
        <n v="14.5"/>
        <n v="14.7"/>
        <n v="7.9"/>
        <n v="14.8"/>
        <n v="8"/>
        <n v="15"/>
        <n v="8.1"/>
        <n v="15.2"/>
        <n v="8.1999999999999993"/>
        <n v="15.3"/>
      </sharedItems>
    </cacheField>
    <cacheField name="Fiber" numFmtId="0">
      <sharedItems containsSemiMixedTypes="0" containsString="0" containsNumber="1" minValue="3.8" maxValue="8.1999999999999993" count="23">
        <n v="5.8"/>
        <n v="4.8"/>
        <n v="5.9"/>
        <n v="4.9000000000000004"/>
        <n v="5"/>
        <n v="6"/>
        <n v="6.1"/>
        <n v="5.0999999999999996"/>
        <n v="7.7"/>
        <n v="7.8"/>
        <n v="7.9"/>
        <n v="8"/>
        <n v="8.1"/>
        <n v="8.1999999999999993"/>
        <n v="3.8"/>
        <n v="3.9"/>
        <n v="4"/>
        <n v="4.0999999999999996"/>
        <n v="6.7"/>
        <n v="6.8"/>
        <n v="6.9"/>
        <n v="7"/>
        <n v="7.1"/>
      </sharedItems>
    </cacheField>
    <cacheField name="Glycemic Index" numFmtId="0">
      <sharedItems containsSemiMixedTypes="0" containsString="0" containsNumber="1" containsInteger="1" minValue="36" maxValue="64"/>
    </cacheField>
    <cacheField name="Veg_Calories" numFmtId="0">
      <sharedItems containsMixedTypes="1" containsNumber="1" minValue="240" maxValue="428.4"/>
    </cacheField>
    <cacheField name="Non-Veg_Calories" numFmtId="0">
      <sharedItems containsBlank="1" containsMixedTypes="1" containsNumber="1" minValue="259.2" maxValue="489.6"/>
    </cacheField>
    <cacheField name="Breakfast_Meal" numFmtId="0">
      <sharedItems containsString="0" containsBlank="1" containsNumber="1" minValue="351.45" maxValue="351.45" count="2">
        <n v="351.45"/>
        <m/>
      </sharedItems>
    </cacheField>
    <cacheField name="Lunch_Meal" numFmtId="0">
      <sharedItems containsString="0" containsBlank="1" containsNumber="1" minValue="445.5" maxValue="445.5"/>
    </cacheField>
    <cacheField name="Dinner_Meal" numFmtId="0">
      <sharedItems containsString="0" containsBlank="1" containsNumber="1" minValue="331.65000000000015" maxValue="331.65000000000015"/>
    </cacheField>
    <cacheField name="Snack_Meal" numFmtId="0">
      <sharedItems containsString="0" containsBlank="1" containsNumber="1" minValue="257.40000000000009" maxValue="257.40000000000009"/>
    </cacheField>
  </cacheFields>
  <extLst>
    <ext xmlns:x14="http://schemas.microsoft.com/office/spreadsheetml/2009/9/main" uri="{725AE2AE-9491-48be-B2B4-4EB974FC3084}">
      <x14:pivotCacheDefinition pivotCacheId="10850561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ay-1"/>
    <x v="0"/>
    <x v="0"/>
    <x v="0"/>
    <d v="1899-12-30T08:00:00"/>
    <s v="Oats porridge with flax seeds + 1 cup sprouts"/>
    <x v="0"/>
    <x v="0"/>
    <x v="0"/>
    <x v="0"/>
    <x v="0"/>
    <n v="45"/>
    <n v="336"/>
    <m/>
    <x v="0"/>
    <n v="445.5"/>
    <n v="331.65000000000015"/>
    <n v="257.40000000000009"/>
  </r>
  <r>
    <s v="Day-1"/>
    <x v="0"/>
    <x v="1"/>
    <x v="0"/>
    <d v="1899-12-30T08:00:00"/>
    <s v="Oats porridge + boiled egg whites + milk"/>
    <x v="1"/>
    <x v="1"/>
    <x v="1"/>
    <x v="1"/>
    <x v="1"/>
    <n v="47"/>
    <s v=""/>
    <n v="345.6"/>
    <x v="1"/>
    <m/>
    <m/>
    <m/>
  </r>
  <r>
    <s v="Day-1"/>
    <x v="1"/>
    <x v="0"/>
    <x v="0"/>
    <d v="1899-12-30T08:00:00"/>
    <s v="Oats porridge with flax seeds + 1 cup sprouts"/>
    <x v="0"/>
    <x v="0"/>
    <x v="0"/>
    <x v="0"/>
    <x v="0"/>
    <n v="48"/>
    <n v="336"/>
    <s v=""/>
    <x v="1"/>
    <m/>
    <m/>
    <m/>
  </r>
  <r>
    <s v="Day-1"/>
    <x v="1"/>
    <x v="1"/>
    <x v="0"/>
    <d v="1899-12-30T08:00:00"/>
    <s v="Oats porridge + boiled egg whites + milk"/>
    <x v="1"/>
    <x v="1"/>
    <x v="1"/>
    <x v="1"/>
    <x v="1"/>
    <n v="52"/>
    <s v=""/>
    <n v="345.6"/>
    <x v="1"/>
    <m/>
    <m/>
    <m/>
  </r>
  <r>
    <s v="Day-1"/>
    <x v="2"/>
    <x v="0"/>
    <x v="0"/>
    <d v="1899-12-30T08:00:00"/>
    <s v="Oats porridge with flax seeds + 1 cup sprouts"/>
    <x v="0"/>
    <x v="0"/>
    <x v="0"/>
    <x v="0"/>
    <x v="0"/>
    <n v="58"/>
    <n v="336"/>
    <s v=""/>
    <x v="1"/>
    <m/>
    <m/>
    <m/>
  </r>
  <r>
    <s v="Day-1"/>
    <x v="2"/>
    <x v="1"/>
    <x v="0"/>
    <d v="1899-12-30T08:00:00"/>
    <s v="Oats porridge + boiled egg whites + milk"/>
    <x v="1"/>
    <x v="1"/>
    <x v="1"/>
    <x v="1"/>
    <x v="1"/>
    <n v="62"/>
    <s v=""/>
    <n v="345.6"/>
    <x v="1"/>
    <m/>
    <m/>
    <m/>
  </r>
  <r>
    <s v="Day-1"/>
    <x v="3"/>
    <x v="0"/>
    <x v="0"/>
    <d v="1899-12-30T08:00:00"/>
    <s v="Oats porridge with flax seeds + 1 cup sprouts"/>
    <x v="0"/>
    <x v="0"/>
    <x v="0"/>
    <x v="0"/>
    <x v="0"/>
    <n v="54"/>
    <n v="336"/>
    <s v=""/>
    <x v="1"/>
    <m/>
    <m/>
    <m/>
  </r>
  <r>
    <s v="Day-1"/>
    <x v="3"/>
    <x v="1"/>
    <x v="0"/>
    <d v="1899-12-30T08:00:00"/>
    <s v="Oats porridge + boiled egg whites + milk"/>
    <x v="1"/>
    <x v="1"/>
    <x v="1"/>
    <x v="1"/>
    <x v="1"/>
    <n v="56"/>
    <s v=""/>
    <n v="345.6"/>
    <x v="1"/>
    <m/>
    <m/>
    <m/>
  </r>
  <r>
    <s v="Day-2"/>
    <x v="0"/>
    <x v="0"/>
    <x v="0"/>
    <d v="1899-12-30T08:00:00"/>
    <s v="Oats porridge with flax seeds + 1 cup sprouts"/>
    <x v="2"/>
    <x v="2"/>
    <x v="2"/>
    <x v="2"/>
    <x v="0"/>
    <n v="46"/>
    <n v="339.5"/>
    <s v=""/>
    <x v="1"/>
    <m/>
    <m/>
    <m/>
  </r>
  <r>
    <s v="Day-2"/>
    <x v="0"/>
    <x v="1"/>
    <x v="0"/>
    <d v="1899-12-30T08:00:00"/>
    <s v="Oats porridge + boiled egg whites + milk"/>
    <x v="3"/>
    <x v="3"/>
    <x v="3"/>
    <x v="3"/>
    <x v="1"/>
    <n v="48"/>
    <s v=""/>
    <n v="349.2"/>
    <x v="1"/>
    <m/>
    <m/>
    <m/>
  </r>
  <r>
    <s v="Day-2"/>
    <x v="1"/>
    <x v="0"/>
    <x v="0"/>
    <d v="1899-12-30T08:00:00"/>
    <s v="Oats porridge with flax seeds + 1 cup sprouts"/>
    <x v="2"/>
    <x v="2"/>
    <x v="2"/>
    <x v="2"/>
    <x v="0"/>
    <n v="49"/>
    <n v="339.5"/>
    <s v=""/>
    <x v="1"/>
    <m/>
    <m/>
    <m/>
  </r>
  <r>
    <s v="Day-2"/>
    <x v="1"/>
    <x v="1"/>
    <x v="0"/>
    <d v="1899-12-30T08:00:00"/>
    <s v="Oats porridge + boiled egg whites + milk"/>
    <x v="3"/>
    <x v="3"/>
    <x v="3"/>
    <x v="3"/>
    <x v="1"/>
    <n v="53"/>
    <s v=""/>
    <n v="349.2"/>
    <x v="1"/>
    <m/>
    <m/>
    <m/>
  </r>
  <r>
    <s v="Day-2"/>
    <x v="2"/>
    <x v="0"/>
    <x v="0"/>
    <d v="1899-12-30T08:00:00"/>
    <s v="Oats porridge with flax seeds + 1 cup sprouts"/>
    <x v="2"/>
    <x v="2"/>
    <x v="2"/>
    <x v="2"/>
    <x v="0"/>
    <n v="56"/>
    <n v="339.5"/>
    <s v=""/>
    <x v="1"/>
    <m/>
    <m/>
    <m/>
  </r>
  <r>
    <s v="Day-2"/>
    <x v="2"/>
    <x v="1"/>
    <x v="0"/>
    <d v="1899-12-30T08:00:00"/>
    <s v="Oats porridge + boiled egg whites + milk"/>
    <x v="3"/>
    <x v="3"/>
    <x v="3"/>
    <x v="3"/>
    <x v="1"/>
    <n v="60"/>
    <s v=""/>
    <n v="349.2"/>
    <x v="1"/>
    <m/>
    <m/>
    <m/>
  </r>
  <r>
    <s v="Day-2"/>
    <x v="3"/>
    <x v="0"/>
    <x v="0"/>
    <d v="1899-12-30T08:00:00"/>
    <s v="Oats porridge with flax seeds + 1 cup sprouts"/>
    <x v="2"/>
    <x v="2"/>
    <x v="2"/>
    <x v="2"/>
    <x v="0"/>
    <n v="52"/>
    <n v="339.5"/>
    <s v=""/>
    <x v="1"/>
    <m/>
    <m/>
    <m/>
  </r>
  <r>
    <s v="Day-2"/>
    <x v="3"/>
    <x v="1"/>
    <x v="0"/>
    <d v="1899-12-30T08:00:00"/>
    <s v="Oats porridge + boiled egg whites + milk"/>
    <x v="3"/>
    <x v="3"/>
    <x v="3"/>
    <x v="3"/>
    <x v="1"/>
    <n v="54"/>
    <s v=""/>
    <n v="349.2"/>
    <x v="1"/>
    <m/>
    <m/>
    <m/>
  </r>
  <r>
    <s v="Day-3"/>
    <x v="0"/>
    <x v="0"/>
    <x v="0"/>
    <d v="1899-12-30T08:00:00"/>
    <s v="Oats porridge with flax seeds + 1 cup sprouts"/>
    <x v="4"/>
    <x v="4"/>
    <x v="4"/>
    <x v="4"/>
    <x v="2"/>
    <n v="45"/>
    <n v="343"/>
    <s v=""/>
    <x v="1"/>
    <m/>
    <m/>
    <m/>
  </r>
  <r>
    <s v="Day-3"/>
    <x v="0"/>
    <x v="1"/>
    <x v="0"/>
    <d v="1899-12-30T08:00:00"/>
    <s v="Oats porridge + boiled egg whites + milk"/>
    <x v="5"/>
    <x v="5"/>
    <x v="5"/>
    <x v="5"/>
    <x v="3"/>
    <n v="46"/>
    <s v=""/>
    <n v="352.8"/>
    <x v="1"/>
    <m/>
    <m/>
    <m/>
  </r>
  <r>
    <s v="Day-3"/>
    <x v="1"/>
    <x v="0"/>
    <x v="0"/>
    <d v="1899-12-30T08:00:00"/>
    <s v="Oats porridge with flax seeds + 1 cup sprouts"/>
    <x v="4"/>
    <x v="4"/>
    <x v="4"/>
    <x v="4"/>
    <x v="2"/>
    <n v="43"/>
    <n v="343"/>
    <s v=""/>
    <x v="1"/>
    <m/>
    <m/>
    <m/>
  </r>
  <r>
    <s v="Day-3"/>
    <x v="1"/>
    <x v="1"/>
    <x v="0"/>
    <d v="1899-12-30T08:00:00"/>
    <s v="Oats porridge + boiled egg whites + milk"/>
    <x v="5"/>
    <x v="5"/>
    <x v="5"/>
    <x v="5"/>
    <x v="3"/>
    <n v="54"/>
    <s v=""/>
    <n v="352.8"/>
    <x v="1"/>
    <m/>
    <m/>
    <m/>
  </r>
  <r>
    <s v="Day-3"/>
    <x v="2"/>
    <x v="0"/>
    <x v="0"/>
    <d v="1899-12-30T08:00:00"/>
    <s v="Oats porridge with flax seeds + 1 cup sprouts"/>
    <x v="4"/>
    <x v="4"/>
    <x v="4"/>
    <x v="4"/>
    <x v="2"/>
    <n v="56"/>
    <n v="343"/>
    <s v=""/>
    <x v="1"/>
    <m/>
    <m/>
    <m/>
  </r>
  <r>
    <s v="Day-3"/>
    <x v="2"/>
    <x v="1"/>
    <x v="0"/>
    <d v="1899-12-30T08:00:00"/>
    <s v="Oats porridge + boiled egg whites + milk"/>
    <x v="5"/>
    <x v="5"/>
    <x v="5"/>
    <x v="5"/>
    <x v="3"/>
    <n v="61"/>
    <s v=""/>
    <n v="352.8"/>
    <x v="1"/>
    <m/>
    <m/>
    <m/>
  </r>
  <r>
    <s v="Day-3"/>
    <x v="3"/>
    <x v="0"/>
    <x v="0"/>
    <d v="1899-12-30T08:00:00"/>
    <s v="Oats porridge with flax seeds + 1 cup sprouts"/>
    <x v="4"/>
    <x v="4"/>
    <x v="4"/>
    <x v="4"/>
    <x v="2"/>
    <n v="52"/>
    <n v="343"/>
    <s v=""/>
    <x v="1"/>
    <m/>
    <m/>
    <m/>
  </r>
  <r>
    <s v="Day-3"/>
    <x v="3"/>
    <x v="1"/>
    <x v="0"/>
    <d v="1899-12-30T08:00:00"/>
    <s v="Oats porridge + boiled egg whites + milk"/>
    <x v="5"/>
    <x v="5"/>
    <x v="5"/>
    <x v="5"/>
    <x v="3"/>
    <n v="54"/>
    <s v=""/>
    <n v="352.8"/>
    <x v="1"/>
    <m/>
    <m/>
    <m/>
  </r>
  <r>
    <s v="Day-4"/>
    <x v="0"/>
    <x v="0"/>
    <x v="0"/>
    <d v="1899-12-30T08:00:00"/>
    <s v="Oats porridge with flax seeds + 1 cup sprouts"/>
    <x v="6"/>
    <x v="6"/>
    <x v="6"/>
    <x v="6"/>
    <x v="2"/>
    <n v="45"/>
    <n v="346.5"/>
    <s v=""/>
    <x v="1"/>
    <m/>
    <m/>
    <m/>
  </r>
  <r>
    <s v="Day-4"/>
    <x v="0"/>
    <x v="1"/>
    <x v="0"/>
    <d v="1899-12-30T08:00:00"/>
    <s v="Oats porridge + boiled egg whites + milk"/>
    <x v="7"/>
    <x v="7"/>
    <x v="7"/>
    <x v="7"/>
    <x v="4"/>
    <n v="48"/>
    <s v=""/>
    <n v="356.4"/>
    <x v="1"/>
    <m/>
    <m/>
    <m/>
  </r>
  <r>
    <s v="Day-4"/>
    <x v="1"/>
    <x v="0"/>
    <x v="0"/>
    <d v="1899-12-30T08:00:00"/>
    <s v="Oats porridge with flax seeds + 1 cup sprouts"/>
    <x v="6"/>
    <x v="6"/>
    <x v="6"/>
    <x v="6"/>
    <x v="2"/>
    <n v="47"/>
    <n v="346.5"/>
    <s v=""/>
    <x v="1"/>
    <m/>
    <m/>
    <m/>
  </r>
  <r>
    <s v="Day-4"/>
    <x v="1"/>
    <x v="1"/>
    <x v="0"/>
    <d v="1899-12-30T08:00:00"/>
    <s v="Oats porridge + boiled egg whites + milk"/>
    <x v="7"/>
    <x v="7"/>
    <x v="7"/>
    <x v="7"/>
    <x v="4"/>
    <n v="51"/>
    <s v=""/>
    <n v="356.4"/>
    <x v="1"/>
    <m/>
    <m/>
    <m/>
  </r>
  <r>
    <s v="Day-4"/>
    <x v="2"/>
    <x v="0"/>
    <x v="0"/>
    <d v="1899-12-30T08:00:00"/>
    <s v="Oats porridge with flax seeds + 1 cup sprouts"/>
    <x v="6"/>
    <x v="6"/>
    <x v="6"/>
    <x v="6"/>
    <x v="2"/>
    <n v="58"/>
    <n v="346.5"/>
    <s v=""/>
    <x v="1"/>
    <m/>
    <m/>
    <m/>
  </r>
  <r>
    <s v="Day-4"/>
    <x v="2"/>
    <x v="1"/>
    <x v="0"/>
    <d v="1899-12-30T08:00:00"/>
    <s v="Oats porridge + boiled egg whites + milk"/>
    <x v="7"/>
    <x v="7"/>
    <x v="7"/>
    <x v="7"/>
    <x v="4"/>
    <n v="63"/>
    <s v=""/>
    <n v="356.4"/>
    <x v="1"/>
    <m/>
    <m/>
    <m/>
  </r>
  <r>
    <s v="Day-4"/>
    <x v="3"/>
    <x v="0"/>
    <x v="0"/>
    <d v="1899-12-30T08:00:00"/>
    <s v="Oats porridge with flax seeds + 1 cup sprouts"/>
    <x v="6"/>
    <x v="6"/>
    <x v="6"/>
    <x v="6"/>
    <x v="2"/>
    <n v="54"/>
    <n v="346.5"/>
    <s v=""/>
    <x v="1"/>
    <m/>
    <m/>
    <m/>
  </r>
  <r>
    <s v="Day-4"/>
    <x v="3"/>
    <x v="1"/>
    <x v="0"/>
    <d v="1899-12-30T08:00:00"/>
    <s v="Oats porridge + boiled egg whites + milk"/>
    <x v="7"/>
    <x v="7"/>
    <x v="7"/>
    <x v="7"/>
    <x v="4"/>
    <n v="56"/>
    <s v=""/>
    <n v="356.4"/>
    <x v="1"/>
    <m/>
    <m/>
    <m/>
  </r>
  <r>
    <s v="Day-5"/>
    <x v="0"/>
    <x v="0"/>
    <x v="0"/>
    <d v="1899-12-30T08:00:00"/>
    <s v="Oats porridge with flax seeds + 1 cup sprouts"/>
    <x v="8"/>
    <x v="8"/>
    <x v="8"/>
    <x v="8"/>
    <x v="5"/>
    <n v="44"/>
    <n v="350"/>
    <s v=""/>
    <x v="1"/>
    <m/>
    <m/>
    <m/>
  </r>
  <r>
    <s v="Day-5"/>
    <x v="0"/>
    <x v="1"/>
    <x v="0"/>
    <d v="1899-12-30T08:00:00"/>
    <s v="Oats porridge + boiled egg whites + milk"/>
    <x v="9"/>
    <x v="9"/>
    <x v="9"/>
    <x v="9"/>
    <x v="4"/>
    <n v="46"/>
    <s v=""/>
    <n v="360"/>
    <x v="1"/>
    <m/>
    <m/>
    <m/>
  </r>
  <r>
    <s v="Day-5"/>
    <x v="1"/>
    <x v="0"/>
    <x v="0"/>
    <d v="1899-12-30T08:00:00"/>
    <s v="Oats porridge with flax seeds + 1 cup sprouts"/>
    <x v="8"/>
    <x v="8"/>
    <x v="8"/>
    <x v="8"/>
    <x v="5"/>
    <n v="47"/>
    <n v="350"/>
    <s v=""/>
    <x v="1"/>
    <m/>
    <m/>
    <m/>
  </r>
  <r>
    <s v="Day-5"/>
    <x v="1"/>
    <x v="1"/>
    <x v="0"/>
    <d v="1899-12-30T08:00:00"/>
    <s v="Oats porridge + boiled egg whites + milk"/>
    <x v="9"/>
    <x v="9"/>
    <x v="9"/>
    <x v="9"/>
    <x v="4"/>
    <n v="53"/>
    <s v=""/>
    <n v="360"/>
    <x v="1"/>
    <m/>
    <m/>
    <m/>
  </r>
  <r>
    <s v="Day-5"/>
    <x v="2"/>
    <x v="0"/>
    <x v="0"/>
    <d v="1899-12-30T08:00:00"/>
    <s v="Oats porridge with flax seeds + 1 cup sprouts"/>
    <x v="8"/>
    <x v="8"/>
    <x v="8"/>
    <x v="8"/>
    <x v="5"/>
    <n v="58"/>
    <n v="350"/>
    <s v=""/>
    <x v="1"/>
    <m/>
    <m/>
    <m/>
  </r>
  <r>
    <s v="Day-5"/>
    <x v="2"/>
    <x v="1"/>
    <x v="0"/>
    <d v="1899-12-30T08:00:00"/>
    <s v="Oats porridge + boiled egg whites + milk"/>
    <x v="9"/>
    <x v="9"/>
    <x v="9"/>
    <x v="9"/>
    <x v="4"/>
    <n v="62"/>
    <s v=""/>
    <n v="360"/>
    <x v="1"/>
    <m/>
    <m/>
    <m/>
  </r>
  <r>
    <s v="Day-5"/>
    <x v="3"/>
    <x v="0"/>
    <x v="0"/>
    <d v="1899-12-30T08:00:00"/>
    <s v="Oats porridge with flax seeds + 1 cup sprouts"/>
    <x v="8"/>
    <x v="8"/>
    <x v="8"/>
    <x v="8"/>
    <x v="5"/>
    <n v="53"/>
    <n v="350"/>
    <s v=""/>
    <x v="1"/>
    <m/>
    <m/>
    <m/>
  </r>
  <r>
    <s v="Day-5"/>
    <x v="3"/>
    <x v="1"/>
    <x v="0"/>
    <d v="1899-12-30T08:00:00"/>
    <s v="Oats porridge + boiled egg whites + milk"/>
    <x v="9"/>
    <x v="9"/>
    <x v="9"/>
    <x v="9"/>
    <x v="4"/>
    <n v="57"/>
    <s v=""/>
    <n v="360"/>
    <x v="1"/>
    <m/>
    <m/>
    <m/>
  </r>
  <r>
    <s v="Day-6"/>
    <x v="0"/>
    <x v="0"/>
    <x v="0"/>
    <d v="1899-12-30T08:00:00"/>
    <s v="Oats porridge with flax seeds + 1 cup sprouts"/>
    <x v="10"/>
    <x v="10"/>
    <x v="10"/>
    <x v="10"/>
    <x v="6"/>
    <n v="49"/>
    <n v="353.5"/>
    <s v=""/>
    <x v="1"/>
    <m/>
    <m/>
    <m/>
  </r>
  <r>
    <s v="Day-6"/>
    <x v="0"/>
    <x v="1"/>
    <x v="0"/>
    <d v="1899-12-30T08:00:00"/>
    <s v="Oats porridge + boiled egg whites + milk"/>
    <x v="11"/>
    <x v="11"/>
    <x v="11"/>
    <x v="11"/>
    <x v="4"/>
    <n v="48"/>
    <s v=""/>
    <n v="363.6"/>
    <x v="1"/>
    <m/>
    <m/>
    <m/>
  </r>
  <r>
    <s v="Day-6"/>
    <x v="1"/>
    <x v="0"/>
    <x v="0"/>
    <d v="1899-12-30T08:00:00"/>
    <s v="Oats porridge with flax seeds + 1 cup sprouts"/>
    <x v="10"/>
    <x v="10"/>
    <x v="10"/>
    <x v="10"/>
    <x v="6"/>
    <n v="47"/>
    <n v="353.5"/>
    <s v=""/>
    <x v="1"/>
    <m/>
    <m/>
    <m/>
  </r>
  <r>
    <s v="Day-6"/>
    <x v="1"/>
    <x v="1"/>
    <x v="0"/>
    <d v="1899-12-30T08:00:00"/>
    <s v="Oats porridge + boiled egg whites + milk"/>
    <x v="11"/>
    <x v="11"/>
    <x v="11"/>
    <x v="11"/>
    <x v="4"/>
    <n v="53"/>
    <s v=""/>
    <n v="363.6"/>
    <x v="1"/>
    <m/>
    <m/>
    <m/>
  </r>
  <r>
    <s v="Day-6"/>
    <x v="2"/>
    <x v="0"/>
    <x v="0"/>
    <d v="1899-12-30T08:00:00"/>
    <s v="Oats porridge with flax seeds + 1 cup sprouts"/>
    <x v="10"/>
    <x v="10"/>
    <x v="10"/>
    <x v="10"/>
    <x v="6"/>
    <n v="56"/>
    <n v="353.5"/>
    <s v=""/>
    <x v="1"/>
    <m/>
    <m/>
    <m/>
  </r>
  <r>
    <s v="Day-6"/>
    <x v="2"/>
    <x v="1"/>
    <x v="0"/>
    <d v="1899-12-30T08:00:00"/>
    <s v="Oats porridge + boiled egg whites + milk"/>
    <x v="11"/>
    <x v="11"/>
    <x v="11"/>
    <x v="11"/>
    <x v="4"/>
    <n v="63"/>
    <s v=""/>
    <n v="363.6"/>
    <x v="1"/>
    <m/>
    <m/>
    <m/>
  </r>
  <r>
    <s v="Day-6"/>
    <x v="3"/>
    <x v="0"/>
    <x v="0"/>
    <d v="1899-12-30T08:00:00"/>
    <s v="Oats porridge with flax seeds + 1 cup sprouts"/>
    <x v="10"/>
    <x v="10"/>
    <x v="10"/>
    <x v="10"/>
    <x v="6"/>
    <n v="54"/>
    <n v="353.5"/>
    <s v=""/>
    <x v="1"/>
    <m/>
    <m/>
    <m/>
  </r>
  <r>
    <s v="Day-6"/>
    <x v="3"/>
    <x v="1"/>
    <x v="0"/>
    <d v="1899-12-30T08:00:00"/>
    <s v="Oats porridge + boiled egg whites + milk"/>
    <x v="11"/>
    <x v="11"/>
    <x v="11"/>
    <x v="11"/>
    <x v="4"/>
    <n v="58"/>
    <s v=""/>
    <n v="363.6"/>
    <x v="1"/>
    <m/>
    <m/>
    <m/>
  </r>
  <r>
    <s v="Day-7"/>
    <x v="0"/>
    <x v="0"/>
    <x v="0"/>
    <d v="1899-12-30T08:00:00"/>
    <s v="Oats porridge with flax seeds + 1 cup sprouts"/>
    <x v="12"/>
    <x v="12"/>
    <x v="12"/>
    <x v="12"/>
    <x v="6"/>
    <n v="40"/>
    <n v="357"/>
    <s v=""/>
    <x v="1"/>
    <m/>
    <m/>
    <m/>
  </r>
  <r>
    <s v="Day-7"/>
    <x v="0"/>
    <x v="1"/>
    <x v="0"/>
    <d v="1899-12-30T08:00:00"/>
    <s v="Oats porridge + boiled egg whites + milk"/>
    <x v="13"/>
    <x v="13"/>
    <x v="13"/>
    <x v="13"/>
    <x v="7"/>
    <n v="45"/>
    <s v=""/>
    <n v="367.2"/>
    <x v="1"/>
    <m/>
    <m/>
    <m/>
  </r>
  <r>
    <s v="Day-7"/>
    <x v="1"/>
    <x v="0"/>
    <x v="0"/>
    <d v="1899-12-30T08:00:00"/>
    <s v="Oats porridge with flax seeds + 1 cup sprouts"/>
    <x v="12"/>
    <x v="12"/>
    <x v="12"/>
    <x v="12"/>
    <x v="6"/>
    <n v="47"/>
    <n v="357"/>
    <s v=""/>
    <x v="1"/>
    <m/>
    <m/>
    <m/>
  </r>
  <r>
    <s v="Day-7"/>
    <x v="1"/>
    <x v="1"/>
    <x v="0"/>
    <d v="1899-12-30T08:00:00"/>
    <s v="Oats porridge + boiled egg whites + milk"/>
    <x v="13"/>
    <x v="13"/>
    <x v="13"/>
    <x v="13"/>
    <x v="7"/>
    <n v="50"/>
    <s v=""/>
    <n v="367.2"/>
    <x v="1"/>
    <m/>
    <m/>
    <m/>
  </r>
  <r>
    <s v="Day-7"/>
    <x v="2"/>
    <x v="0"/>
    <x v="0"/>
    <d v="1899-12-30T08:00:00"/>
    <s v="Oats porridge with flax seeds + 1 cup sprouts"/>
    <x v="12"/>
    <x v="12"/>
    <x v="12"/>
    <x v="12"/>
    <x v="6"/>
    <n v="55"/>
    <n v="357"/>
    <s v=""/>
    <x v="1"/>
    <m/>
    <m/>
    <m/>
  </r>
  <r>
    <s v="Day-7"/>
    <x v="2"/>
    <x v="1"/>
    <x v="0"/>
    <d v="1899-12-30T08:00:00"/>
    <s v="Oats porridge + boiled egg whites + milk"/>
    <x v="13"/>
    <x v="13"/>
    <x v="13"/>
    <x v="13"/>
    <x v="7"/>
    <n v="60"/>
    <s v=""/>
    <n v="367.2"/>
    <x v="1"/>
    <m/>
    <m/>
    <m/>
  </r>
  <r>
    <s v="Day-7"/>
    <x v="3"/>
    <x v="0"/>
    <x v="0"/>
    <d v="1899-12-30T08:00:00"/>
    <s v="Oats porridge with flax seeds + 1 cup sprouts"/>
    <x v="12"/>
    <x v="12"/>
    <x v="12"/>
    <x v="12"/>
    <x v="6"/>
    <n v="49"/>
    <n v="357"/>
    <s v=""/>
    <x v="1"/>
    <m/>
    <m/>
    <m/>
  </r>
  <r>
    <s v="Day-7"/>
    <x v="3"/>
    <x v="1"/>
    <x v="0"/>
    <d v="1899-12-30T08:00:00"/>
    <s v="Oats porridge + boiled egg whites + milk"/>
    <x v="13"/>
    <x v="13"/>
    <x v="13"/>
    <x v="13"/>
    <x v="7"/>
    <n v="50"/>
    <s v=""/>
    <n v="367.2"/>
    <x v="1"/>
    <m/>
    <m/>
    <m/>
  </r>
  <r>
    <s v="Day-1"/>
    <x v="0"/>
    <x v="0"/>
    <x v="1"/>
    <d v="1899-12-30T13:00:00"/>
    <s v="Whole wheat chapati + palak paneer + cucumber salad"/>
    <x v="14"/>
    <x v="14"/>
    <x v="14"/>
    <x v="0"/>
    <x v="8"/>
    <n v="45"/>
    <n v="403.2"/>
    <s v=""/>
    <x v="1"/>
    <m/>
    <m/>
    <m/>
  </r>
  <r>
    <s v="Day-1"/>
    <x v="0"/>
    <x v="1"/>
    <x v="1"/>
    <d v="1899-12-30T13:00:00"/>
    <s v="Brown rice + grilled chicken curry + salad"/>
    <x v="15"/>
    <x v="15"/>
    <x v="15"/>
    <x v="14"/>
    <x v="0"/>
    <n v="49"/>
    <s v=""/>
    <n v="460.8"/>
    <x v="1"/>
    <m/>
    <m/>
    <m/>
  </r>
  <r>
    <s v="Day-1"/>
    <x v="1"/>
    <x v="0"/>
    <x v="1"/>
    <d v="1899-12-30T13:00:00"/>
    <s v="Whole wheat chapati + palak paneer + cucumber salad"/>
    <x v="14"/>
    <x v="14"/>
    <x v="14"/>
    <x v="0"/>
    <x v="8"/>
    <n v="50"/>
    <n v="403.2"/>
    <s v=""/>
    <x v="1"/>
    <m/>
    <m/>
    <m/>
  </r>
  <r>
    <s v="Day-1"/>
    <x v="1"/>
    <x v="1"/>
    <x v="1"/>
    <d v="1899-12-30T13:00:00"/>
    <s v="Brown rice + grilled chicken curry + salad"/>
    <x v="15"/>
    <x v="15"/>
    <x v="15"/>
    <x v="14"/>
    <x v="0"/>
    <n v="54"/>
    <s v=""/>
    <n v="460.8"/>
    <x v="1"/>
    <m/>
    <m/>
    <m/>
  </r>
  <r>
    <s v="Day-1"/>
    <x v="2"/>
    <x v="0"/>
    <x v="1"/>
    <d v="1899-12-30T13:00:00"/>
    <s v="Whole wheat chapati + palak paneer + cucumber salad"/>
    <x v="14"/>
    <x v="14"/>
    <x v="14"/>
    <x v="0"/>
    <x v="8"/>
    <n v="61"/>
    <n v="403.2"/>
    <s v=""/>
    <x v="1"/>
    <m/>
    <m/>
    <m/>
  </r>
  <r>
    <s v="Day-1"/>
    <x v="2"/>
    <x v="1"/>
    <x v="1"/>
    <d v="1899-12-30T13:00:00"/>
    <s v="Brown rice + grilled chicken curry + salad"/>
    <x v="15"/>
    <x v="15"/>
    <x v="15"/>
    <x v="14"/>
    <x v="0"/>
    <n v="64"/>
    <s v=""/>
    <n v="460.8"/>
    <x v="1"/>
    <m/>
    <m/>
    <m/>
  </r>
  <r>
    <s v="Day-1"/>
    <x v="3"/>
    <x v="0"/>
    <x v="1"/>
    <d v="1899-12-30T13:00:00"/>
    <s v="Whole wheat chapati + palak paneer + cucumber salad"/>
    <x v="14"/>
    <x v="14"/>
    <x v="14"/>
    <x v="0"/>
    <x v="8"/>
    <n v="57"/>
    <n v="403.2"/>
    <s v=""/>
    <x v="1"/>
    <m/>
    <m/>
    <m/>
  </r>
  <r>
    <s v="Day-1"/>
    <x v="3"/>
    <x v="1"/>
    <x v="1"/>
    <d v="1899-12-30T13:00:00"/>
    <s v="Brown rice + grilled chicken curry + salad"/>
    <x v="15"/>
    <x v="15"/>
    <x v="15"/>
    <x v="14"/>
    <x v="0"/>
    <n v="59"/>
    <s v=""/>
    <n v="460.8"/>
    <x v="1"/>
    <m/>
    <m/>
    <m/>
  </r>
  <r>
    <s v="Day-2"/>
    <x v="0"/>
    <x v="0"/>
    <x v="1"/>
    <d v="1899-12-30T13:00:00"/>
    <s v="Whole wheat chapati + palak paneer + cucumber salad"/>
    <x v="16"/>
    <x v="16"/>
    <x v="16"/>
    <x v="2"/>
    <x v="9"/>
    <n v="47"/>
    <n v="407.4"/>
    <s v=""/>
    <x v="1"/>
    <m/>
    <m/>
    <m/>
  </r>
  <r>
    <s v="Day-2"/>
    <x v="0"/>
    <x v="1"/>
    <x v="1"/>
    <d v="1899-12-30T13:00:00"/>
    <s v="Brown rice + grilled chicken curry + salad"/>
    <x v="17"/>
    <x v="17"/>
    <x v="17"/>
    <x v="15"/>
    <x v="0"/>
    <n v="50"/>
    <s v=""/>
    <n v="465.6"/>
    <x v="1"/>
    <m/>
    <m/>
    <m/>
  </r>
  <r>
    <s v="Day-2"/>
    <x v="1"/>
    <x v="0"/>
    <x v="1"/>
    <d v="1899-12-30T13:00:00"/>
    <s v="Whole wheat chapati + palak paneer + cucumber salad"/>
    <x v="16"/>
    <x v="16"/>
    <x v="16"/>
    <x v="2"/>
    <x v="9"/>
    <n v="52"/>
    <n v="407.4"/>
    <s v=""/>
    <x v="1"/>
    <m/>
    <m/>
    <m/>
  </r>
  <r>
    <s v="Day-2"/>
    <x v="1"/>
    <x v="1"/>
    <x v="1"/>
    <d v="1899-12-30T13:00:00"/>
    <s v="Brown rice + grilled chicken curry + salad"/>
    <x v="17"/>
    <x v="17"/>
    <x v="17"/>
    <x v="15"/>
    <x v="0"/>
    <n v="58"/>
    <s v=""/>
    <n v="465.6"/>
    <x v="1"/>
    <m/>
    <m/>
    <m/>
  </r>
  <r>
    <s v="Day-2"/>
    <x v="2"/>
    <x v="0"/>
    <x v="1"/>
    <d v="1899-12-30T13:00:00"/>
    <s v="Whole wheat chapati + palak paneer + cucumber salad"/>
    <x v="16"/>
    <x v="16"/>
    <x v="16"/>
    <x v="2"/>
    <x v="9"/>
    <n v="63"/>
    <n v="407.4"/>
    <s v=""/>
    <x v="1"/>
    <m/>
    <m/>
    <m/>
  </r>
  <r>
    <s v="Day-2"/>
    <x v="2"/>
    <x v="1"/>
    <x v="1"/>
    <d v="1899-12-30T13:00:00"/>
    <s v="Brown rice + grilled chicken curry + salad"/>
    <x v="17"/>
    <x v="17"/>
    <x v="17"/>
    <x v="15"/>
    <x v="0"/>
    <n v="60"/>
    <s v=""/>
    <n v="465.6"/>
    <x v="1"/>
    <m/>
    <m/>
    <m/>
  </r>
  <r>
    <s v="Day-2"/>
    <x v="3"/>
    <x v="0"/>
    <x v="1"/>
    <d v="1899-12-30T13:00:00"/>
    <s v="Whole wheat chapati + palak paneer + cucumber salad"/>
    <x v="16"/>
    <x v="16"/>
    <x v="16"/>
    <x v="2"/>
    <x v="9"/>
    <n v="57"/>
    <n v="407.4"/>
    <s v=""/>
    <x v="1"/>
    <m/>
    <m/>
    <m/>
  </r>
  <r>
    <s v="Day-2"/>
    <x v="3"/>
    <x v="1"/>
    <x v="1"/>
    <d v="1899-12-30T13:00:00"/>
    <s v="Brown rice + grilled chicken curry + salad"/>
    <x v="17"/>
    <x v="17"/>
    <x v="17"/>
    <x v="15"/>
    <x v="0"/>
    <n v="59"/>
    <s v=""/>
    <n v="465.6"/>
    <x v="1"/>
    <m/>
    <m/>
    <m/>
  </r>
  <r>
    <s v="Day-3"/>
    <x v="0"/>
    <x v="0"/>
    <x v="1"/>
    <d v="1899-12-30T13:00:00"/>
    <s v="Whole wheat chapati + palak paneer + cucumber salad"/>
    <x v="18"/>
    <x v="18"/>
    <x v="18"/>
    <x v="4"/>
    <x v="9"/>
    <n v="46"/>
    <n v="411.6"/>
    <s v=""/>
    <x v="1"/>
    <m/>
    <m/>
    <m/>
  </r>
  <r>
    <s v="Day-3"/>
    <x v="0"/>
    <x v="1"/>
    <x v="1"/>
    <d v="1899-12-30T13:00:00"/>
    <s v="Brown rice + grilled chicken curry + salad"/>
    <x v="19"/>
    <x v="19"/>
    <x v="19"/>
    <x v="16"/>
    <x v="2"/>
    <n v="48"/>
    <s v=""/>
    <n v="470.4"/>
    <x v="1"/>
    <m/>
    <m/>
    <m/>
  </r>
  <r>
    <s v="Day-3"/>
    <x v="1"/>
    <x v="0"/>
    <x v="1"/>
    <d v="1899-12-30T13:00:00"/>
    <s v="Whole wheat chapati + palak paneer + cucumber salad"/>
    <x v="18"/>
    <x v="18"/>
    <x v="18"/>
    <x v="4"/>
    <x v="9"/>
    <n v="49"/>
    <n v="411.6"/>
    <s v=""/>
    <x v="1"/>
    <m/>
    <m/>
    <m/>
  </r>
  <r>
    <s v="Day-3"/>
    <x v="1"/>
    <x v="1"/>
    <x v="1"/>
    <d v="1899-12-30T13:00:00"/>
    <s v="Brown rice + grilled chicken curry + salad"/>
    <x v="19"/>
    <x v="19"/>
    <x v="19"/>
    <x v="16"/>
    <x v="2"/>
    <n v="52"/>
    <s v=""/>
    <n v="470.4"/>
    <x v="1"/>
    <m/>
    <m/>
    <m/>
  </r>
  <r>
    <s v="Day-3"/>
    <x v="2"/>
    <x v="0"/>
    <x v="1"/>
    <d v="1899-12-30T13:00:00"/>
    <s v="Whole wheat chapati + palak paneer + cucumber salad"/>
    <x v="18"/>
    <x v="18"/>
    <x v="18"/>
    <x v="4"/>
    <x v="9"/>
    <n v="60"/>
    <n v="411.6"/>
    <s v=""/>
    <x v="1"/>
    <m/>
    <m/>
    <m/>
  </r>
  <r>
    <s v="Day-3"/>
    <x v="2"/>
    <x v="1"/>
    <x v="1"/>
    <d v="1899-12-30T13:00:00"/>
    <s v="Brown rice + grilled chicken curry + salad"/>
    <x v="19"/>
    <x v="19"/>
    <x v="19"/>
    <x v="16"/>
    <x v="2"/>
    <n v="63"/>
    <s v=""/>
    <n v="470.4"/>
    <x v="1"/>
    <m/>
    <m/>
    <m/>
  </r>
  <r>
    <s v="Day-3"/>
    <x v="3"/>
    <x v="0"/>
    <x v="1"/>
    <d v="1899-12-30T13:00:00"/>
    <s v="Whole wheat chapati + palak paneer + cucumber salad"/>
    <x v="18"/>
    <x v="18"/>
    <x v="18"/>
    <x v="4"/>
    <x v="9"/>
    <n v="56"/>
    <n v="411.6"/>
    <s v=""/>
    <x v="1"/>
    <m/>
    <m/>
    <m/>
  </r>
  <r>
    <s v="Day-3"/>
    <x v="3"/>
    <x v="1"/>
    <x v="1"/>
    <d v="1899-12-30T13:00:00"/>
    <s v="Brown rice + grilled chicken curry + salad"/>
    <x v="19"/>
    <x v="19"/>
    <x v="19"/>
    <x v="16"/>
    <x v="2"/>
    <n v="55"/>
    <s v=""/>
    <n v="470.4"/>
    <x v="1"/>
    <m/>
    <m/>
    <m/>
  </r>
  <r>
    <s v="Day-4"/>
    <x v="0"/>
    <x v="0"/>
    <x v="1"/>
    <d v="1899-12-30T13:00:00"/>
    <s v="Whole wheat chapati + palak paneer + cucumber salad"/>
    <x v="20"/>
    <x v="20"/>
    <x v="20"/>
    <x v="6"/>
    <x v="10"/>
    <n v="43"/>
    <n v="415.8"/>
    <s v=""/>
    <x v="1"/>
    <m/>
    <m/>
    <m/>
  </r>
  <r>
    <s v="Day-4"/>
    <x v="0"/>
    <x v="1"/>
    <x v="1"/>
    <d v="1899-12-30T13:00:00"/>
    <s v="Brown rice + grilled chicken curry + salad"/>
    <x v="21"/>
    <x v="21"/>
    <x v="21"/>
    <x v="17"/>
    <x v="2"/>
    <n v="48"/>
    <s v=""/>
    <n v="475.2"/>
    <x v="1"/>
    <m/>
    <m/>
    <m/>
  </r>
  <r>
    <s v="Day-4"/>
    <x v="1"/>
    <x v="0"/>
    <x v="1"/>
    <d v="1899-12-30T13:00:00"/>
    <s v="Whole wheat chapati + palak paneer + cucumber salad"/>
    <x v="20"/>
    <x v="20"/>
    <x v="20"/>
    <x v="6"/>
    <x v="10"/>
    <n v="50"/>
    <n v="415.8"/>
    <s v=""/>
    <x v="1"/>
    <m/>
    <m/>
    <m/>
  </r>
  <r>
    <s v="Day-4"/>
    <x v="1"/>
    <x v="1"/>
    <x v="1"/>
    <d v="1899-12-30T13:00:00"/>
    <s v="Brown rice + grilled chicken curry + salad"/>
    <x v="21"/>
    <x v="21"/>
    <x v="21"/>
    <x v="17"/>
    <x v="2"/>
    <n v="53"/>
    <s v=""/>
    <n v="475.2"/>
    <x v="1"/>
    <m/>
    <m/>
    <m/>
  </r>
  <r>
    <s v="Day-4"/>
    <x v="2"/>
    <x v="0"/>
    <x v="1"/>
    <d v="1899-12-30T13:00:00"/>
    <s v="Whole wheat chapati + palak paneer + cucumber salad"/>
    <x v="20"/>
    <x v="20"/>
    <x v="20"/>
    <x v="6"/>
    <x v="10"/>
    <n v="59"/>
    <n v="415.8"/>
    <s v=""/>
    <x v="1"/>
    <m/>
    <m/>
    <m/>
  </r>
  <r>
    <s v="Day-4"/>
    <x v="2"/>
    <x v="1"/>
    <x v="1"/>
    <d v="1899-12-30T13:00:00"/>
    <s v="Brown rice + grilled chicken curry + salad"/>
    <x v="21"/>
    <x v="21"/>
    <x v="21"/>
    <x v="17"/>
    <x v="2"/>
    <n v="64"/>
    <s v=""/>
    <n v="475.2"/>
    <x v="1"/>
    <m/>
    <m/>
    <m/>
  </r>
  <r>
    <s v="Day-4"/>
    <x v="3"/>
    <x v="0"/>
    <x v="1"/>
    <d v="1899-12-30T13:00:00"/>
    <s v="Whole wheat chapati + palak paneer + cucumber salad"/>
    <x v="20"/>
    <x v="20"/>
    <x v="20"/>
    <x v="6"/>
    <x v="10"/>
    <n v="56"/>
    <n v="415.8"/>
    <s v=""/>
    <x v="1"/>
    <m/>
    <m/>
    <m/>
  </r>
  <r>
    <s v="Day-4"/>
    <x v="3"/>
    <x v="1"/>
    <x v="1"/>
    <d v="1899-12-30T13:00:00"/>
    <s v="Brown rice + grilled chicken curry + salad"/>
    <x v="21"/>
    <x v="21"/>
    <x v="21"/>
    <x v="17"/>
    <x v="2"/>
    <n v="60"/>
    <s v=""/>
    <n v="475.2"/>
    <x v="1"/>
    <m/>
    <m/>
    <m/>
  </r>
  <r>
    <s v="Day-5"/>
    <x v="0"/>
    <x v="0"/>
    <x v="1"/>
    <d v="1899-12-30T13:00:00"/>
    <s v="Whole wheat chapati + palak paneer + cucumber salad"/>
    <x v="22"/>
    <x v="22"/>
    <x v="22"/>
    <x v="8"/>
    <x v="11"/>
    <n v="43"/>
    <n v="420"/>
    <s v=""/>
    <x v="1"/>
    <m/>
    <m/>
    <m/>
  </r>
  <r>
    <s v="Day-5"/>
    <x v="0"/>
    <x v="1"/>
    <x v="1"/>
    <d v="1899-12-30T13:00:00"/>
    <s v="Brown rice + grilled chicken curry + salad"/>
    <x v="23"/>
    <x v="23"/>
    <x v="23"/>
    <x v="18"/>
    <x v="5"/>
    <n v="48"/>
    <s v=""/>
    <n v="480"/>
    <x v="1"/>
    <m/>
    <m/>
    <m/>
  </r>
  <r>
    <s v="Day-5"/>
    <x v="1"/>
    <x v="0"/>
    <x v="1"/>
    <d v="1899-12-30T13:00:00"/>
    <s v="Whole wheat chapati + palak paneer + cucumber salad"/>
    <x v="22"/>
    <x v="22"/>
    <x v="22"/>
    <x v="8"/>
    <x v="11"/>
    <n v="47"/>
    <n v="420"/>
    <s v=""/>
    <x v="1"/>
    <m/>
    <m/>
    <m/>
  </r>
  <r>
    <s v="Day-5"/>
    <x v="1"/>
    <x v="1"/>
    <x v="1"/>
    <d v="1899-12-30T13:00:00"/>
    <s v="Brown rice + grilled chicken curry + salad"/>
    <x v="23"/>
    <x v="23"/>
    <x v="23"/>
    <x v="18"/>
    <x v="5"/>
    <n v="52"/>
    <s v=""/>
    <n v="480"/>
    <x v="1"/>
    <m/>
    <m/>
    <m/>
  </r>
  <r>
    <s v="Day-5"/>
    <x v="2"/>
    <x v="0"/>
    <x v="1"/>
    <d v="1899-12-30T13:00:00"/>
    <s v="Whole wheat chapati + palak paneer + cucumber salad"/>
    <x v="22"/>
    <x v="22"/>
    <x v="22"/>
    <x v="8"/>
    <x v="11"/>
    <n v="60"/>
    <n v="420"/>
    <s v=""/>
    <x v="1"/>
    <m/>
    <m/>
    <m/>
  </r>
  <r>
    <s v="Day-5"/>
    <x v="2"/>
    <x v="1"/>
    <x v="1"/>
    <d v="1899-12-30T13:00:00"/>
    <s v="Brown rice + grilled chicken curry + salad"/>
    <x v="23"/>
    <x v="23"/>
    <x v="23"/>
    <x v="18"/>
    <x v="5"/>
    <n v="62"/>
    <s v=""/>
    <n v="480"/>
    <x v="1"/>
    <m/>
    <m/>
    <m/>
  </r>
  <r>
    <s v="Day-5"/>
    <x v="3"/>
    <x v="0"/>
    <x v="1"/>
    <d v="1899-12-30T13:00:00"/>
    <s v="Whole wheat chapati + palak paneer + cucumber salad"/>
    <x v="22"/>
    <x v="22"/>
    <x v="22"/>
    <x v="8"/>
    <x v="11"/>
    <n v="56"/>
    <n v="420"/>
    <s v=""/>
    <x v="1"/>
    <m/>
    <m/>
    <m/>
  </r>
  <r>
    <s v="Day-5"/>
    <x v="3"/>
    <x v="1"/>
    <x v="1"/>
    <d v="1899-12-30T13:00:00"/>
    <s v="Brown rice + grilled chicken curry + salad"/>
    <x v="23"/>
    <x v="23"/>
    <x v="23"/>
    <x v="18"/>
    <x v="5"/>
    <n v="58"/>
    <s v=""/>
    <n v="480"/>
    <x v="1"/>
    <m/>
    <m/>
    <m/>
  </r>
  <r>
    <s v="Day-6"/>
    <x v="0"/>
    <x v="0"/>
    <x v="1"/>
    <d v="1899-12-30T13:00:00"/>
    <s v="Whole wheat chapati + palak paneer + cucumber salad"/>
    <x v="24"/>
    <x v="24"/>
    <x v="24"/>
    <x v="10"/>
    <x v="12"/>
    <n v="45"/>
    <n v="424.2"/>
    <s v=""/>
    <x v="1"/>
    <m/>
    <m/>
    <m/>
  </r>
  <r>
    <s v="Day-6"/>
    <x v="0"/>
    <x v="1"/>
    <x v="1"/>
    <d v="1899-12-30T13:00:00"/>
    <s v="Brown rice + grilled chicken curry + salad"/>
    <x v="25"/>
    <x v="25"/>
    <x v="25"/>
    <x v="19"/>
    <x v="6"/>
    <n v="48"/>
    <s v=""/>
    <n v="484.8"/>
    <x v="1"/>
    <m/>
    <m/>
    <m/>
  </r>
  <r>
    <s v="Day-6"/>
    <x v="1"/>
    <x v="0"/>
    <x v="1"/>
    <d v="1899-12-30T13:00:00"/>
    <s v="Whole wheat chapati + palak paneer + cucumber salad"/>
    <x v="24"/>
    <x v="24"/>
    <x v="24"/>
    <x v="10"/>
    <x v="12"/>
    <n v="48"/>
    <n v="424.2"/>
    <s v=""/>
    <x v="1"/>
    <m/>
    <m/>
    <m/>
  </r>
  <r>
    <s v="Day-6"/>
    <x v="1"/>
    <x v="1"/>
    <x v="1"/>
    <d v="1899-12-30T13:00:00"/>
    <s v="Brown rice + grilled chicken curry + salad"/>
    <x v="25"/>
    <x v="25"/>
    <x v="25"/>
    <x v="19"/>
    <x v="6"/>
    <n v="52"/>
    <s v=""/>
    <n v="484.8"/>
    <x v="1"/>
    <m/>
    <m/>
    <m/>
  </r>
  <r>
    <s v="Day-6"/>
    <x v="2"/>
    <x v="0"/>
    <x v="1"/>
    <d v="1899-12-30T13:00:00"/>
    <s v="Whole wheat chapati + palak paneer + cucumber salad"/>
    <x v="24"/>
    <x v="24"/>
    <x v="24"/>
    <x v="10"/>
    <x v="12"/>
    <n v="57"/>
    <n v="424.2"/>
    <s v=""/>
    <x v="1"/>
    <m/>
    <m/>
    <m/>
  </r>
  <r>
    <s v="Day-6"/>
    <x v="2"/>
    <x v="1"/>
    <x v="1"/>
    <d v="1899-12-30T13:00:00"/>
    <s v="Brown rice + grilled chicken curry + salad"/>
    <x v="25"/>
    <x v="25"/>
    <x v="25"/>
    <x v="19"/>
    <x v="6"/>
    <n v="60"/>
    <s v=""/>
    <n v="484.8"/>
    <x v="1"/>
    <m/>
    <m/>
    <m/>
  </r>
  <r>
    <s v="Day-6"/>
    <x v="3"/>
    <x v="0"/>
    <x v="1"/>
    <d v="1899-12-30T13:00:00"/>
    <s v="Whole wheat chapati + palak paneer + cucumber salad"/>
    <x v="24"/>
    <x v="24"/>
    <x v="24"/>
    <x v="10"/>
    <x v="12"/>
    <n v="54"/>
    <n v="424.2"/>
    <s v=""/>
    <x v="1"/>
    <m/>
    <m/>
    <m/>
  </r>
  <r>
    <s v="Day-6"/>
    <x v="3"/>
    <x v="1"/>
    <x v="1"/>
    <d v="1899-12-30T13:00:00"/>
    <s v="Brown rice + grilled chicken curry + salad"/>
    <x v="25"/>
    <x v="25"/>
    <x v="25"/>
    <x v="19"/>
    <x v="6"/>
    <n v="57"/>
    <s v=""/>
    <n v="484.8"/>
    <x v="1"/>
    <m/>
    <m/>
    <m/>
  </r>
  <r>
    <s v="Day-7"/>
    <x v="0"/>
    <x v="0"/>
    <x v="1"/>
    <d v="1899-12-30T13:00:00"/>
    <s v="Whole wheat chapati + palak paneer + cucumber salad"/>
    <x v="26"/>
    <x v="26"/>
    <x v="26"/>
    <x v="12"/>
    <x v="13"/>
    <n v="42"/>
    <n v="428.4"/>
    <s v=""/>
    <x v="1"/>
    <m/>
    <m/>
    <m/>
  </r>
  <r>
    <s v="Day-7"/>
    <x v="0"/>
    <x v="1"/>
    <x v="1"/>
    <d v="1899-12-30T13:00:00"/>
    <s v="Brown rice + grilled chicken curry + salad"/>
    <x v="27"/>
    <x v="27"/>
    <x v="27"/>
    <x v="20"/>
    <x v="6"/>
    <n v="47"/>
    <s v=""/>
    <n v="489.6"/>
    <x v="1"/>
    <m/>
    <m/>
    <m/>
  </r>
  <r>
    <s v="Day-7"/>
    <x v="1"/>
    <x v="0"/>
    <x v="1"/>
    <d v="1899-12-30T13:00:00"/>
    <s v="Whole wheat chapati + palak paneer + cucumber salad"/>
    <x v="26"/>
    <x v="26"/>
    <x v="26"/>
    <x v="12"/>
    <x v="13"/>
    <n v="48"/>
    <n v="428.4"/>
    <s v=""/>
    <x v="1"/>
    <m/>
    <m/>
    <m/>
  </r>
  <r>
    <s v="Day-7"/>
    <x v="1"/>
    <x v="1"/>
    <x v="1"/>
    <d v="1899-12-30T13:00:00"/>
    <s v="Brown rice + grilled chicken curry + salad"/>
    <x v="27"/>
    <x v="27"/>
    <x v="27"/>
    <x v="20"/>
    <x v="6"/>
    <n v="52"/>
    <s v=""/>
    <n v="489.6"/>
    <x v="1"/>
    <m/>
    <m/>
    <m/>
  </r>
  <r>
    <s v="Day-7"/>
    <x v="2"/>
    <x v="0"/>
    <x v="1"/>
    <d v="1899-12-30T13:00:00"/>
    <s v="Whole wheat chapati + palak paneer + cucumber salad"/>
    <x v="26"/>
    <x v="26"/>
    <x v="26"/>
    <x v="12"/>
    <x v="13"/>
    <n v="54"/>
    <n v="428.4"/>
    <s v=""/>
    <x v="1"/>
    <m/>
    <m/>
    <m/>
  </r>
  <r>
    <s v="Day-7"/>
    <x v="2"/>
    <x v="1"/>
    <x v="1"/>
    <d v="1899-12-30T13:00:00"/>
    <s v="Brown rice + grilled chicken curry + salad"/>
    <x v="27"/>
    <x v="27"/>
    <x v="27"/>
    <x v="20"/>
    <x v="6"/>
    <n v="60"/>
    <s v=""/>
    <n v="489.6"/>
    <x v="1"/>
    <m/>
    <m/>
    <m/>
  </r>
  <r>
    <s v="Day-7"/>
    <x v="3"/>
    <x v="0"/>
    <x v="1"/>
    <d v="1899-12-30T13:00:00"/>
    <s v="Whole wheat chapati + palak paneer + cucumber salad"/>
    <x v="26"/>
    <x v="26"/>
    <x v="26"/>
    <x v="12"/>
    <x v="13"/>
    <n v="57"/>
    <n v="428.4"/>
    <s v=""/>
    <x v="1"/>
    <m/>
    <m/>
    <m/>
  </r>
  <r>
    <s v="Day-7"/>
    <x v="3"/>
    <x v="1"/>
    <x v="1"/>
    <d v="1899-12-30T13:00:00"/>
    <s v="Brown rice + grilled chicken curry + salad"/>
    <x v="27"/>
    <x v="27"/>
    <x v="27"/>
    <x v="20"/>
    <x v="6"/>
    <n v="59"/>
    <s v=""/>
    <n v="489.6"/>
    <x v="1"/>
    <m/>
    <m/>
    <m/>
  </r>
  <r>
    <s v="Day-1"/>
    <x v="0"/>
    <x v="0"/>
    <x v="2"/>
    <d v="1899-12-30T16:00:00"/>
    <s v="Roasted chana + Greek yogurt (unsweetened)"/>
    <x v="28"/>
    <x v="28"/>
    <x v="28"/>
    <x v="21"/>
    <x v="0"/>
    <n v="40"/>
    <n v="240"/>
    <s v=""/>
    <x v="1"/>
    <m/>
    <m/>
    <m/>
  </r>
  <r>
    <s v="Day-1"/>
    <x v="0"/>
    <x v="1"/>
    <x v="2"/>
    <d v="1899-12-30T16:00:00"/>
    <s v="Boiled egg + roasted peanuts"/>
    <x v="29"/>
    <x v="14"/>
    <x v="29"/>
    <x v="22"/>
    <x v="14"/>
    <n v="45"/>
    <s v=""/>
    <n v="259.2"/>
    <x v="1"/>
    <m/>
    <m/>
    <m/>
  </r>
  <r>
    <s v="Day-1"/>
    <x v="1"/>
    <x v="0"/>
    <x v="2"/>
    <d v="1899-12-30T16:00:00"/>
    <s v="Roasted chana + Greek yogurt (unsweetened)"/>
    <x v="28"/>
    <x v="28"/>
    <x v="28"/>
    <x v="21"/>
    <x v="0"/>
    <n v="46"/>
    <n v="240"/>
    <s v=""/>
    <x v="1"/>
    <m/>
    <m/>
    <m/>
  </r>
  <r>
    <s v="Day-1"/>
    <x v="1"/>
    <x v="1"/>
    <x v="2"/>
    <d v="1899-12-30T16:00:00"/>
    <s v="Boiled egg + roasted peanuts"/>
    <x v="29"/>
    <x v="14"/>
    <x v="29"/>
    <x v="22"/>
    <x v="14"/>
    <n v="50"/>
    <s v=""/>
    <n v="259.2"/>
    <x v="1"/>
    <m/>
    <m/>
    <m/>
  </r>
  <r>
    <s v="Day-1"/>
    <x v="2"/>
    <x v="0"/>
    <x v="2"/>
    <d v="1899-12-30T16:00:00"/>
    <s v="Roasted chana + Greek yogurt (unsweetened)"/>
    <x v="28"/>
    <x v="28"/>
    <x v="28"/>
    <x v="21"/>
    <x v="0"/>
    <n v="57"/>
    <n v="240"/>
    <s v=""/>
    <x v="1"/>
    <m/>
    <m/>
    <m/>
  </r>
  <r>
    <s v="Day-1"/>
    <x v="2"/>
    <x v="1"/>
    <x v="2"/>
    <d v="1899-12-30T16:00:00"/>
    <s v="Boiled egg + roasted peanuts"/>
    <x v="29"/>
    <x v="14"/>
    <x v="29"/>
    <x v="22"/>
    <x v="14"/>
    <n v="60"/>
    <s v=""/>
    <n v="259.2"/>
    <x v="1"/>
    <m/>
    <m/>
    <m/>
  </r>
  <r>
    <s v="Day-1"/>
    <x v="3"/>
    <x v="0"/>
    <x v="2"/>
    <d v="1899-12-30T16:00:00"/>
    <s v="Roasted chana + Greek yogurt (unsweetened)"/>
    <x v="28"/>
    <x v="28"/>
    <x v="28"/>
    <x v="21"/>
    <x v="0"/>
    <n v="52"/>
    <n v="240"/>
    <s v=""/>
    <x v="1"/>
    <m/>
    <m/>
    <m/>
  </r>
  <r>
    <s v="Day-1"/>
    <x v="3"/>
    <x v="1"/>
    <x v="2"/>
    <d v="1899-12-30T16:00:00"/>
    <s v="Boiled egg + roasted peanuts"/>
    <x v="29"/>
    <x v="14"/>
    <x v="29"/>
    <x v="22"/>
    <x v="14"/>
    <n v="55"/>
    <s v=""/>
    <n v="259.2"/>
    <x v="1"/>
    <m/>
    <m/>
    <m/>
  </r>
  <r>
    <s v="Day-2"/>
    <x v="0"/>
    <x v="0"/>
    <x v="2"/>
    <d v="1899-12-30T16:00:00"/>
    <s v="Roasted chana + Greek yogurt (unsweetened)"/>
    <x v="30"/>
    <x v="29"/>
    <x v="30"/>
    <x v="23"/>
    <x v="0"/>
    <n v="40"/>
    <n v="242.5"/>
    <s v=""/>
    <x v="1"/>
    <m/>
    <m/>
    <m/>
  </r>
  <r>
    <s v="Day-2"/>
    <x v="0"/>
    <x v="1"/>
    <x v="2"/>
    <d v="1899-12-30T16:00:00"/>
    <s v="Boiled egg + roasted peanuts"/>
    <x v="31"/>
    <x v="16"/>
    <x v="31"/>
    <x v="24"/>
    <x v="15"/>
    <n v="43"/>
    <s v=""/>
    <n v="261.89999999999998"/>
    <x v="1"/>
    <m/>
    <m/>
    <m/>
  </r>
  <r>
    <s v="Day-2"/>
    <x v="1"/>
    <x v="0"/>
    <x v="2"/>
    <d v="1899-12-30T16:00:00"/>
    <s v="Roasted chana + Greek yogurt (unsweetened)"/>
    <x v="30"/>
    <x v="29"/>
    <x v="30"/>
    <x v="23"/>
    <x v="0"/>
    <n v="42"/>
    <n v="242.5"/>
    <s v=""/>
    <x v="1"/>
    <m/>
    <m/>
    <m/>
  </r>
  <r>
    <s v="Day-2"/>
    <x v="1"/>
    <x v="1"/>
    <x v="2"/>
    <d v="1899-12-30T16:00:00"/>
    <s v="Boiled egg + roasted peanuts"/>
    <x v="31"/>
    <x v="16"/>
    <x v="31"/>
    <x v="24"/>
    <x v="15"/>
    <n v="46"/>
    <s v=""/>
    <n v="261.89999999999998"/>
    <x v="1"/>
    <m/>
    <m/>
    <m/>
  </r>
  <r>
    <s v="Day-2"/>
    <x v="2"/>
    <x v="0"/>
    <x v="2"/>
    <d v="1899-12-30T16:00:00"/>
    <s v="Roasted chana + Greek yogurt (unsweetened)"/>
    <x v="30"/>
    <x v="29"/>
    <x v="30"/>
    <x v="23"/>
    <x v="0"/>
    <n v="50"/>
    <n v="242.5"/>
    <s v=""/>
    <x v="1"/>
    <m/>
    <m/>
    <m/>
  </r>
  <r>
    <s v="Day-2"/>
    <x v="2"/>
    <x v="1"/>
    <x v="2"/>
    <d v="1899-12-30T16:00:00"/>
    <s v="Boiled egg + roasted peanuts"/>
    <x v="31"/>
    <x v="16"/>
    <x v="31"/>
    <x v="24"/>
    <x v="15"/>
    <n v="58"/>
    <s v=""/>
    <n v="261.89999999999998"/>
    <x v="1"/>
    <m/>
    <m/>
    <m/>
  </r>
  <r>
    <s v="Day-2"/>
    <x v="3"/>
    <x v="0"/>
    <x v="2"/>
    <d v="1899-12-30T16:00:00"/>
    <s v="Roasted chana + Greek yogurt (unsweetened)"/>
    <x v="30"/>
    <x v="29"/>
    <x v="30"/>
    <x v="23"/>
    <x v="0"/>
    <n v="50"/>
    <n v="242.5"/>
    <s v=""/>
    <x v="1"/>
    <m/>
    <m/>
    <m/>
  </r>
  <r>
    <s v="Day-2"/>
    <x v="3"/>
    <x v="1"/>
    <x v="2"/>
    <d v="1899-12-30T16:00:00"/>
    <s v="Boiled egg + roasted peanuts"/>
    <x v="31"/>
    <x v="16"/>
    <x v="31"/>
    <x v="24"/>
    <x v="15"/>
    <n v="54"/>
    <s v=""/>
    <n v="261.89999999999998"/>
    <x v="1"/>
    <m/>
    <m/>
    <m/>
  </r>
  <r>
    <s v="Day-3"/>
    <x v="0"/>
    <x v="0"/>
    <x v="2"/>
    <d v="1899-12-30T16:00:00"/>
    <s v="Roasted chana + Greek yogurt (unsweetened)"/>
    <x v="32"/>
    <x v="30"/>
    <x v="32"/>
    <x v="23"/>
    <x v="2"/>
    <n v="38"/>
    <n v="245"/>
    <s v=""/>
    <x v="1"/>
    <m/>
    <m/>
    <m/>
  </r>
  <r>
    <s v="Day-3"/>
    <x v="0"/>
    <x v="1"/>
    <x v="2"/>
    <d v="1899-12-30T16:00:00"/>
    <s v="Boiled egg + roasted peanuts"/>
    <x v="33"/>
    <x v="18"/>
    <x v="33"/>
    <x v="25"/>
    <x v="15"/>
    <n v="40"/>
    <s v=""/>
    <n v="264.60000000000002"/>
    <x v="1"/>
    <m/>
    <m/>
    <m/>
  </r>
  <r>
    <s v="Day-3"/>
    <x v="1"/>
    <x v="0"/>
    <x v="2"/>
    <d v="1899-12-30T16:00:00"/>
    <s v="Roasted chana + Greek yogurt (unsweetened)"/>
    <x v="32"/>
    <x v="30"/>
    <x v="32"/>
    <x v="23"/>
    <x v="2"/>
    <n v="42"/>
    <n v="245"/>
    <s v=""/>
    <x v="1"/>
    <m/>
    <m/>
    <m/>
  </r>
  <r>
    <s v="Day-3"/>
    <x v="1"/>
    <x v="1"/>
    <x v="2"/>
    <d v="1899-12-30T16:00:00"/>
    <s v="Boiled egg + roasted peanuts"/>
    <x v="33"/>
    <x v="18"/>
    <x v="33"/>
    <x v="25"/>
    <x v="15"/>
    <n v="48"/>
    <s v=""/>
    <n v="264.60000000000002"/>
    <x v="1"/>
    <m/>
    <m/>
    <m/>
  </r>
  <r>
    <s v="Day-3"/>
    <x v="2"/>
    <x v="0"/>
    <x v="2"/>
    <d v="1899-12-30T16:00:00"/>
    <s v="Roasted chana + Greek yogurt (unsweetened)"/>
    <x v="32"/>
    <x v="30"/>
    <x v="32"/>
    <x v="23"/>
    <x v="2"/>
    <n v="53"/>
    <n v="245"/>
    <s v=""/>
    <x v="1"/>
    <m/>
    <m/>
    <m/>
  </r>
  <r>
    <s v="Day-3"/>
    <x v="2"/>
    <x v="1"/>
    <x v="2"/>
    <d v="1899-12-30T16:00:00"/>
    <s v="Boiled egg + roasted peanuts"/>
    <x v="33"/>
    <x v="18"/>
    <x v="33"/>
    <x v="25"/>
    <x v="15"/>
    <n v="57"/>
    <s v=""/>
    <n v="264.60000000000002"/>
    <x v="1"/>
    <m/>
    <m/>
    <m/>
  </r>
  <r>
    <s v="Day-3"/>
    <x v="3"/>
    <x v="0"/>
    <x v="2"/>
    <d v="1899-12-30T16:00:00"/>
    <s v="Roasted chana + Greek yogurt (unsweetened)"/>
    <x v="32"/>
    <x v="30"/>
    <x v="32"/>
    <x v="23"/>
    <x v="2"/>
    <n v="50"/>
    <n v="245"/>
    <s v=""/>
    <x v="1"/>
    <m/>
    <m/>
    <m/>
  </r>
  <r>
    <s v="Day-3"/>
    <x v="3"/>
    <x v="1"/>
    <x v="2"/>
    <d v="1899-12-30T16:00:00"/>
    <s v="Boiled egg + roasted peanuts"/>
    <x v="33"/>
    <x v="18"/>
    <x v="33"/>
    <x v="25"/>
    <x v="15"/>
    <n v="52"/>
    <s v=""/>
    <n v="264.60000000000002"/>
    <x v="1"/>
    <m/>
    <m/>
    <m/>
  </r>
  <r>
    <s v="Day-4"/>
    <x v="0"/>
    <x v="0"/>
    <x v="2"/>
    <d v="1899-12-30T16:00:00"/>
    <s v="Roasted chana + Greek yogurt (unsweetened)"/>
    <x v="34"/>
    <x v="31"/>
    <x v="34"/>
    <x v="26"/>
    <x v="2"/>
    <n v="36"/>
    <n v="247.5"/>
    <s v=""/>
    <x v="1"/>
    <m/>
    <m/>
    <m/>
  </r>
  <r>
    <s v="Day-4"/>
    <x v="0"/>
    <x v="1"/>
    <x v="2"/>
    <d v="1899-12-30T16:00:00"/>
    <s v="Boiled egg + roasted peanuts"/>
    <x v="35"/>
    <x v="20"/>
    <x v="35"/>
    <x v="27"/>
    <x v="16"/>
    <n v="42"/>
    <s v=""/>
    <n v="267.3"/>
    <x v="1"/>
    <m/>
    <m/>
    <m/>
  </r>
  <r>
    <s v="Day-4"/>
    <x v="1"/>
    <x v="0"/>
    <x v="2"/>
    <d v="1899-12-30T16:00:00"/>
    <s v="Roasted chana + Greek yogurt (unsweetened)"/>
    <x v="34"/>
    <x v="31"/>
    <x v="34"/>
    <x v="26"/>
    <x v="2"/>
    <n v="40"/>
    <n v="247.5"/>
    <s v=""/>
    <x v="1"/>
    <m/>
    <m/>
    <m/>
  </r>
  <r>
    <s v="Day-4"/>
    <x v="1"/>
    <x v="1"/>
    <x v="2"/>
    <d v="1899-12-30T16:00:00"/>
    <s v="Boiled egg + roasted peanuts"/>
    <x v="35"/>
    <x v="20"/>
    <x v="35"/>
    <x v="27"/>
    <x v="16"/>
    <n v="45"/>
    <s v=""/>
    <n v="267.3"/>
    <x v="1"/>
    <m/>
    <m/>
    <m/>
  </r>
  <r>
    <s v="Day-4"/>
    <x v="2"/>
    <x v="0"/>
    <x v="2"/>
    <d v="1899-12-30T16:00:00"/>
    <s v="Roasted chana + Greek yogurt (unsweetened)"/>
    <x v="34"/>
    <x v="31"/>
    <x v="34"/>
    <x v="26"/>
    <x v="2"/>
    <n v="46"/>
    <n v="247.5"/>
    <s v=""/>
    <x v="1"/>
    <m/>
    <m/>
    <m/>
  </r>
  <r>
    <s v="Day-4"/>
    <x v="2"/>
    <x v="1"/>
    <x v="2"/>
    <d v="1899-12-30T16:00:00"/>
    <s v="Boiled egg + roasted peanuts"/>
    <x v="35"/>
    <x v="20"/>
    <x v="35"/>
    <x v="27"/>
    <x v="16"/>
    <n v="47"/>
    <s v=""/>
    <n v="267.3"/>
    <x v="1"/>
    <m/>
    <m/>
    <m/>
  </r>
  <r>
    <s v="Day-4"/>
    <x v="3"/>
    <x v="0"/>
    <x v="2"/>
    <d v="1899-12-30T16:00:00"/>
    <s v="Roasted chana + Greek yogurt (unsweetened)"/>
    <x v="34"/>
    <x v="31"/>
    <x v="34"/>
    <x v="26"/>
    <x v="2"/>
    <n v="49"/>
    <n v="247.5"/>
    <s v=""/>
    <x v="1"/>
    <m/>
    <m/>
    <m/>
  </r>
  <r>
    <s v="Day-4"/>
    <x v="3"/>
    <x v="1"/>
    <x v="2"/>
    <d v="1899-12-30T16:00:00"/>
    <s v="Boiled egg + roasted peanuts"/>
    <x v="35"/>
    <x v="20"/>
    <x v="35"/>
    <x v="27"/>
    <x v="16"/>
    <n v="50"/>
    <s v=""/>
    <n v="267.3"/>
    <x v="1"/>
    <m/>
    <m/>
    <m/>
  </r>
  <r>
    <s v="Day-5"/>
    <x v="0"/>
    <x v="0"/>
    <x v="2"/>
    <d v="1899-12-30T16:00:00"/>
    <s v="Roasted chana + Greek yogurt (unsweetened)"/>
    <x v="36"/>
    <x v="32"/>
    <x v="36"/>
    <x v="28"/>
    <x v="5"/>
    <n v="40"/>
    <n v="250"/>
    <s v=""/>
    <x v="1"/>
    <m/>
    <m/>
    <m/>
  </r>
  <r>
    <s v="Day-5"/>
    <x v="0"/>
    <x v="1"/>
    <x v="2"/>
    <d v="1899-12-30T16:00:00"/>
    <s v="Boiled egg + roasted peanuts"/>
    <x v="37"/>
    <x v="22"/>
    <x v="37"/>
    <x v="29"/>
    <x v="16"/>
    <n v="43"/>
    <s v=""/>
    <n v="270"/>
    <x v="1"/>
    <m/>
    <m/>
    <m/>
  </r>
  <r>
    <s v="Day-5"/>
    <x v="1"/>
    <x v="0"/>
    <x v="2"/>
    <d v="1899-12-30T16:00:00"/>
    <s v="Roasted chana + Greek yogurt (unsweetened)"/>
    <x v="36"/>
    <x v="32"/>
    <x v="36"/>
    <x v="28"/>
    <x v="5"/>
    <n v="39"/>
    <n v="250"/>
    <s v=""/>
    <x v="1"/>
    <m/>
    <m/>
    <m/>
  </r>
  <r>
    <s v="Day-5"/>
    <x v="1"/>
    <x v="1"/>
    <x v="2"/>
    <d v="1899-12-30T16:00:00"/>
    <s v="Boiled egg + roasted peanuts"/>
    <x v="37"/>
    <x v="22"/>
    <x v="37"/>
    <x v="29"/>
    <x v="16"/>
    <n v="47"/>
    <s v=""/>
    <n v="270"/>
    <x v="1"/>
    <m/>
    <m/>
    <m/>
  </r>
  <r>
    <s v="Day-5"/>
    <x v="2"/>
    <x v="0"/>
    <x v="2"/>
    <d v="1899-12-30T16:00:00"/>
    <s v="Roasted chana + Greek yogurt (unsweetened)"/>
    <x v="36"/>
    <x v="32"/>
    <x v="36"/>
    <x v="28"/>
    <x v="5"/>
    <n v="47"/>
    <n v="250"/>
    <s v=""/>
    <x v="1"/>
    <m/>
    <m/>
    <m/>
  </r>
  <r>
    <s v="Day-5"/>
    <x v="2"/>
    <x v="1"/>
    <x v="2"/>
    <d v="1899-12-30T16:00:00"/>
    <s v="Boiled egg + roasted peanuts"/>
    <x v="37"/>
    <x v="22"/>
    <x v="37"/>
    <x v="29"/>
    <x v="16"/>
    <n v="52"/>
    <s v=""/>
    <n v="270"/>
    <x v="1"/>
    <m/>
    <m/>
    <m/>
  </r>
  <r>
    <s v="Day-5"/>
    <x v="3"/>
    <x v="0"/>
    <x v="2"/>
    <d v="1899-12-30T16:00:00"/>
    <s v="Roasted chana + Greek yogurt (unsweetened)"/>
    <x v="36"/>
    <x v="32"/>
    <x v="36"/>
    <x v="28"/>
    <x v="5"/>
    <n v="47"/>
    <n v="250"/>
    <s v=""/>
    <x v="1"/>
    <m/>
    <m/>
    <m/>
  </r>
  <r>
    <s v="Day-5"/>
    <x v="3"/>
    <x v="1"/>
    <x v="2"/>
    <d v="1899-12-30T16:00:00"/>
    <s v="Boiled egg + roasted peanuts"/>
    <x v="37"/>
    <x v="22"/>
    <x v="37"/>
    <x v="29"/>
    <x v="16"/>
    <n v="50"/>
    <s v=""/>
    <n v="270"/>
    <x v="1"/>
    <m/>
    <m/>
    <m/>
  </r>
  <r>
    <s v="Day-6"/>
    <x v="0"/>
    <x v="0"/>
    <x v="2"/>
    <d v="1899-12-30T16:00:00"/>
    <s v="Roasted chana + Greek yogurt (unsweetened)"/>
    <x v="38"/>
    <x v="33"/>
    <x v="38"/>
    <x v="30"/>
    <x v="6"/>
    <n v="36"/>
    <n v="252.5"/>
    <s v=""/>
    <x v="1"/>
    <m/>
    <m/>
    <m/>
  </r>
  <r>
    <s v="Day-6"/>
    <x v="0"/>
    <x v="1"/>
    <x v="2"/>
    <d v="1899-12-30T16:00:00"/>
    <s v="Boiled egg + roasted peanuts"/>
    <x v="39"/>
    <x v="24"/>
    <x v="39"/>
    <x v="31"/>
    <x v="16"/>
    <n v="39"/>
    <s v=""/>
    <n v="272.7"/>
    <x v="1"/>
    <m/>
    <m/>
    <m/>
  </r>
  <r>
    <s v="Day-6"/>
    <x v="1"/>
    <x v="0"/>
    <x v="2"/>
    <d v="1899-12-30T16:00:00"/>
    <s v="Roasted chana + Greek yogurt (unsweetened)"/>
    <x v="38"/>
    <x v="33"/>
    <x v="38"/>
    <x v="30"/>
    <x v="6"/>
    <n v="40"/>
    <n v="252.5"/>
    <s v=""/>
    <x v="1"/>
    <m/>
    <m/>
    <m/>
  </r>
  <r>
    <s v="Day-6"/>
    <x v="1"/>
    <x v="1"/>
    <x v="2"/>
    <d v="1899-12-30T16:00:00"/>
    <s v="Boiled egg + roasted peanuts"/>
    <x v="39"/>
    <x v="24"/>
    <x v="39"/>
    <x v="31"/>
    <x v="16"/>
    <n v="42"/>
    <s v=""/>
    <n v="272.7"/>
    <x v="1"/>
    <m/>
    <m/>
    <m/>
  </r>
  <r>
    <s v="Day-6"/>
    <x v="2"/>
    <x v="0"/>
    <x v="2"/>
    <d v="1899-12-30T16:00:00"/>
    <s v="Roasted chana + Greek yogurt (unsweetened)"/>
    <x v="38"/>
    <x v="33"/>
    <x v="38"/>
    <x v="30"/>
    <x v="6"/>
    <n v="44"/>
    <n v="252.5"/>
    <s v=""/>
    <x v="1"/>
    <m/>
    <m/>
    <m/>
  </r>
  <r>
    <s v="Day-6"/>
    <x v="2"/>
    <x v="1"/>
    <x v="2"/>
    <d v="1899-12-30T16:00:00"/>
    <s v="Boiled egg + roasted peanuts"/>
    <x v="39"/>
    <x v="24"/>
    <x v="39"/>
    <x v="31"/>
    <x v="16"/>
    <n v="46"/>
    <s v=""/>
    <n v="272.7"/>
    <x v="1"/>
    <m/>
    <m/>
    <m/>
  </r>
  <r>
    <s v="Day-6"/>
    <x v="3"/>
    <x v="0"/>
    <x v="2"/>
    <d v="1899-12-30T16:00:00"/>
    <s v="Roasted chana + Greek yogurt (unsweetened)"/>
    <x v="38"/>
    <x v="33"/>
    <x v="38"/>
    <x v="30"/>
    <x v="6"/>
    <n v="47"/>
    <n v="252.5"/>
    <s v=""/>
    <x v="1"/>
    <m/>
    <m/>
    <m/>
  </r>
  <r>
    <s v="Day-6"/>
    <x v="3"/>
    <x v="1"/>
    <x v="2"/>
    <d v="1899-12-30T16:00:00"/>
    <s v="Boiled egg + roasted peanuts"/>
    <x v="39"/>
    <x v="24"/>
    <x v="39"/>
    <x v="31"/>
    <x v="16"/>
    <n v="49"/>
    <s v=""/>
    <n v="272.7"/>
    <x v="1"/>
    <m/>
    <m/>
    <m/>
  </r>
  <r>
    <s v="Day-7"/>
    <x v="0"/>
    <x v="0"/>
    <x v="2"/>
    <d v="1899-12-30T16:00:00"/>
    <s v="Roasted chana + Greek yogurt (unsweetened)"/>
    <x v="40"/>
    <x v="34"/>
    <x v="40"/>
    <x v="32"/>
    <x v="6"/>
    <n v="36"/>
    <n v="255"/>
    <s v=""/>
    <x v="1"/>
    <m/>
    <m/>
    <m/>
  </r>
  <r>
    <s v="Day-7"/>
    <x v="0"/>
    <x v="1"/>
    <x v="2"/>
    <d v="1899-12-30T16:00:00"/>
    <s v="Boiled egg + roasted peanuts"/>
    <x v="41"/>
    <x v="26"/>
    <x v="41"/>
    <x v="33"/>
    <x v="17"/>
    <n v="38"/>
    <s v=""/>
    <n v="275.39999999999998"/>
    <x v="1"/>
    <m/>
    <m/>
    <m/>
  </r>
  <r>
    <s v="Day-7"/>
    <x v="1"/>
    <x v="0"/>
    <x v="2"/>
    <d v="1899-12-30T16:00:00"/>
    <s v="Roasted chana + Greek yogurt (unsweetened)"/>
    <x v="40"/>
    <x v="34"/>
    <x v="40"/>
    <x v="32"/>
    <x v="6"/>
    <n v="40"/>
    <n v="255"/>
    <s v=""/>
    <x v="1"/>
    <m/>
    <m/>
    <m/>
  </r>
  <r>
    <s v="Day-7"/>
    <x v="1"/>
    <x v="1"/>
    <x v="2"/>
    <d v="1899-12-30T16:00:00"/>
    <s v="Boiled egg + roasted peanuts"/>
    <x v="41"/>
    <x v="26"/>
    <x v="41"/>
    <x v="33"/>
    <x v="17"/>
    <n v="42"/>
    <s v=""/>
    <n v="275.39999999999998"/>
    <x v="1"/>
    <m/>
    <m/>
    <m/>
  </r>
  <r>
    <s v="Day-7"/>
    <x v="2"/>
    <x v="0"/>
    <x v="2"/>
    <d v="1899-12-30T16:00:00"/>
    <s v="Roasted chana + Greek yogurt (unsweetened)"/>
    <x v="40"/>
    <x v="34"/>
    <x v="40"/>
    <x v="32"/>
    <x v="6"/>
    <n v="45"/>
    <n v="255"/>
    <s v=""/>
    <x v="1"/>
    <m/>
    <m/>
    <m/>
  </r>
  <r>
    <s v="Day-7"/>
    <x v="2"/>
    <x v="1"/>
    <x v="2"/>
    <d v="1899-12-30T16:00:00"/>
    <s v="Boiled egg + roasted peanuts"/>
    <x v="41"/>
    <x v="26"/>
    <x v="41"/>
    <x v="33"/>
    <x v="17"/>
    <n v="48"/>
    <s v=""/>
    <n v="275.39999999999998"/>
    <x v="1"/>
    <m/>
    <m/>
    <m/>
  </r>
  <r>
    <s v="Day-7"/>
    <x v="3"/>
    <x v="0"/>
    <x v="2"/>
    <d v="1899-12-30T16:00:00"/>
    <s v="Roasted chana + Greek yogurt (unsweetened)"/>
    <x v="40"/>
    <x v="34"/>
    <x v="40"/>
    <x v="32"/>
    <x v="6"/>
    <n v="46"/>
    <n v="255"/>
    <s v=""/>
    <x v="1"/>
    <m/>
    <m/>
    <m/>
  </r>
  <r>
    <s v="Day-7"/>
    <x v="3"/>
    <x v="1"/>
    <x v="2"/>
    <d v="1899-12-30T16:00:00"/>
    <s v="Boiled egg + roasted peanuts"/>
    <x v="41"/>
    <x v="26"/>
    <x v="41"/>
    <x v="33"/>
    <x v="17"/>
    <n v="49"/>
    <s v=""/>
    <n v="275.39999999999998"/>
    <x v="1"/>
    <m/>
    <m/>
    <m/>
  </r>
  <r>
    <s v="Day-1"/>
    <x v="0"/>
    <x v="0"/>
    <x v="3"/>
    <d v="1899-12-30T20:00:00"/>
    <s v="Grilled tofu + vegetables"/>
    <x v="42"/>
    <x v="35"/>
    <x v="42"/>
    <x v="0"/>
    <x v="18"/>
    <n v="44"/>
    <n v="307.2"/>
    <s v=""/>
    <x v="1"/>
    <m/>
    <m/>
    <m/>
  </r>
  <r>
    <s v="Day-1"/>
    <x v="0"/>
    <x v="1"/>
    <x v="3"/>
    <d v="1899-12-30T20:00:00"/>
    <s v="Grilled fish + vegetables"/>
    <x v="0"/>
    <x v="36"/>
    <x v="43"/>
    <x v="14"/>
    <x v="0"/>
    <n v="46"/>
    <s v=""/>
    <n v="336"/>
    <x v="1"/>
    <m/>
    <m/>
    <m/>
  </r>
  <r>
    <s v="Day-1"/>
    <x v="1"/>
    <x v="0"/>
    <x v="3"/>
    <d v="1899-12-30T20:00:00"/>
    <s v="Grilled tofu + vegetables"/>
    <x v="42"/>
    <x v="35"/>
    <x v="42"/>
    <x v="0"/>
    <x v="18"/>
    <n v="49"/>
    <n v="307.2"/>
    <s v=""/>
    <x v="1"/>
    <m/>
    <m/>
    <m/>
  </r>
  <r>
    <s v="Day-1"/>
    <x v="1"/>
    <x v="1"/>
    <x v="3"/>
    <d v="1899-12-30T20:00:00"/>
    <s v="Grilled fish + vegetables"/>
    <x v="0"/>
    <x v="36"/>
    <x v="43"/>
    <x v="14"/>
    <x v="0"/>
    <n v="53"/>
    <s v=""/>
    <n v="336"/>
    <x v="1"/>
    <m/>
    <m/>
    <m/>
  </r>
  <r>
    <s v="Day-1"/>
    <x v="2"/>
    <x v="0"/>
    <x v="3"/>
    <d v="1899-12-30T20:00:00"/>
    <s v="Grilled tofu + vegetables"/>
    <x v="42"/>
    <x v="35"/>
    <x v="42"/>
    <x v="0"/>
    <x v="18"/>
    <n v="60"/>
    <n v="307.2"/>
    <s v=""/>
    <x v="1"/>
    <m/>
    <m/>
    <m/>
  </r>
  <r>
    <s v="Day-1"/>
    <x v="2"/>
    <x v="1"/>
    <x v="3"/>
    <d v="1899-12-30T20:00:00"/>
    <s v="Grilled fish + vegetables"/>
    <x v="0"/>
    <x v="36"/>
    <x v="43"/>
    <x v="14"/>
    <x v="0"/>
    <n v="63"/>
    <s v=""/>
    <n v="336"/>
    <x v="1"/>
    <m/>
    <m/>
    <m/>
  </r>
  <r>
    <s v="Day-1"/>
    <x v="3"/>
    <x v="0"/>
    <x v="3"/>
    <d v="1899-12-30T20:00:00"/>
    <s v="Grilled tofu + vegetables"/>
    <x v="42"/>
    <x v="35"/>
    <x v="42"/>
    <x v="0"/>
    <x v="18"/>
    <n v="55"/>
    <n v="307.2"/>
    <s v=""/>
    <x v="1"/>
    <m/>
    <m/>
    <m/>
  </r>
  <r>
    <s v="Day-1"/>
    <x v="3"/>
    <x v="1"/>
    <x v="3"/>
    <d v="1899-12-30T20:00:00"/>
    <s v="Grilled fish + vegetables"/>
    <x v="0"/>
    <x v="36"/>
    <x v="43"/>
    <x v="14"/>
    <x v="0"/>
    <n v="57"/>
    <s v=""/>
    <n v="336"/>
    <x v="1"/>
    <m/>
    <m/>
    <m/>
  </r>
  <r>
    <s v="Day-2"/>
    <x v="0"/>
    <x v="0"/>
    <x v="3"/>
    <d v="1899-12-30T20:00:00"/>
    <s v="Grilled tofu + vegetables"/>
    <x v="43"/>
    <x v="37"/>
    <x v="44"/>
    <x v="2"/>
    <x v="19"/>
    <n v="43"/>
    <n v="310.39999999999998"/>
    <s v=""/>
    <x v="1"/>
    <m/>
    <m/>
    <m/>
  </r>
  <r>
    <s v="Day-2"/>
    <x v="0"/>
    <x v="1"/>
    <x v="3"/>
    <d v="1899-12-30T20:00:00"/>
    <s v="Grilled fish + vegetables"/>
    <x v="2"/>
    <x v="38"/>
    <x v="45"/>
    <x v="15"/>
    <x v="0"/>
    <n v="45"/>
    <s v=""/>
    <n v="339.5"/>
    <x v="1"/>
    <m/>
    <m/>
    <m/>
  </r>
  <r>
    <s v="Day-2"/>
    <x v="1"/>
    <x v="0"/>
    <x v="3"/>
    <d v="1899-12-30T20:00:00"/>
    <s v="Grilled tofu + vegetables"/>
    <x v="43"/>
    <x v="37"/>
    <x v="44"/>
    <x v="2"/>
    <x v="19"/>
    <n v="48"/>
    <n v="310.39999999999998"/>
    <s v=""/>
    <x v="1"/>
    <m/>
    <m/>
    <m/>
  </r>
  <r>
    <s v="Day-2"/>
    <x v="1"/>
    <x v="1"/>
    <x v="3"/>
    <d v="1899-12-30T20:00:00"/>
    <s v="Grilled fish + vegetables"/>
    <x v="2"/>
    <x v="38"/>
    <x v="45"/>
    <x v="15"/>
    <x v="0"/>
    <n v="52"/>
    <s v=""/>
    <n v="339.5"/>
    <x v="1"/>
    <m/>
    <m/>
    <m/>
  </r>
  <r>
    <s v="Day-2"/>
    <x v="2"/>
    <x v="0"/>
    <x v="3"/>
    <d v="1899-12-30T20:00:00"/>
    <s v="Grilled tofu + vegetables"/>
    <x v="43"/>
    <x v="37"/>
    <x v="44"/>
    <x v="2"/>
    <x v="19"/>
    <n v="58"/>
    <n v="310.39999999999998"/>
    <s v=""/>
    <x v="1"/>
    <m/>
    <m/>
    <m/>
  </r>
  <r>
    <s v="Day-2"/>
    <x v="2"/>
    <x v="1"/>
    <x v="3"/>
    <d v="1899-12-30T20:00:00"/>
    <s v="Grilled fish + vegetables"/>
    <x v="2"/>
    <x v="38"/>
    <x v="45"/>
    <x v="15"/>
    <x v="0"/>
    <n v="60"/>
    <s v=""/>
    <n v="339.5"/>
    <x v="1"/>
    <m/>
    <m/>
    <m/>
  </r>
  <r>
    <s v="Day-2"/>
    <x v="3"/>
    <x v="0"/>
    <x v="3"/>
    <d v="1899-12-30T20:00:00"/>
    <s v="Grilled tofu + vegetables"/>
    <x v="43"/>
    <x v="37"/>
    <x v="44"/>
    <x v="2"/>
    <x v="19"/>
    <n v="53"/>
    <n v="310.39999999999998"/>
    <s v=""/>
    <x v="1"/>
    <m/>
    <m/>
    <m/>
  </r>
  <r>
    <s v="Day-2"/>
    <x v="3"/>
    <x v="1"/>
    <x v="3"/>
    <d v="1899-12-30T20:00:00"/>
    <s v="Grilled fish + vegetables"/>
    <x v="2"/>
    <x v="38"/>
    <x v="45"/>
    <x v="15"/>
    <x v="0"/>
    <n v="54"/>
    <s v=""/>
    <n v="339.5"/>
    <x v="1"/>
    <m/>
    <m/>
    <m/>
  </r>
  <r>
    <s v="Day-3"/>
    <x v="0"/>
    <x v="0"/>
    <x v="3"/>
    <d v="1899-12-30T20:00:00"/>
    <s v="Grilled tofu + vegetables"/>
    <x v="44"/>
    <x v="39"/>
    <x v="46"/>
    <x v="4"/>
    <x v="20"/>
    <n v="46"/>
    <n v="313.60000000000002"/>
    <s v=""/>
    <x v="1"/>
    <m/>
    <m/>
    <m/>
  </r>
  <r>
    <s v="Day-3"/>
    <x v="0"/>
    <x v="1"/>
    <x v="3"/>
    <d v="1899-12-30T20:00:00"/>
    <s v="Grilled fish + vegetables"/>
    <x v="4"/>
    <x v="40"/>
    <x v="47"/>
    <x v="16"/>
    <x v="2"/>
    <n v="47"/>
    <s v=""/>
    <n v="343"/>
    <x v="1"/>
    <m/>
    <m/>
    <m/>
  </r>
  <r>
    <s v="Day-3"/>
    <x v="1"/>
    <x v="0"/>
    <x v="3"/>
    <d v="1899-12-30T20:00:00"/>
    <s v="Grilled tofu + vegetables"/>
    <x v="44"/>
    <x v="39"/>
    <x v="46"/>
    <x v="4"/>
    <x v="20"/>
    <n v="47"/>
    <n v="313.60000000000002"/>
    <s v=""/>
    <x v="1"/>
    <m/>
    <m/>
    <m/>
  </r>
  <r>
    <s v="Day-3"/>
    <x v="1"/>
    <x v="1"/>
    <x v="3"/>
    <d v="1899-12-30T20:00:00"/>
    <s v="Grilled fish + vegetables"/>
    <x v="4"/>
    <x v="40"/>
    <x v="47"/>
    <x v="16"/>
    <x v="2"/>
    <n v="50"/>
    <s v=""/>
    <n v="343"/>
    <x v="1"/>
    <m/>
    <m/>
    <m/>
  </r>
  <r>
    <s v="Day-3"/>
    <x v="2"/>
    <x v="0"/>
    <x v="3"/>
    <d v="1899-12-30T20:00:00"/>
    <s v="Grilled tofu + vegetables"/>
    <x v="44"/>
    <x v="39"/>
    <x v="46"/>
    <x v="4"/>
    <x v="20"/>
    <n v="56"/>
    <n v="313.60000000000002"/>
    <s v=""/>
    <x v="1"/>
    <m/>
    <m/>
    <m/>
  </r>
  <r>
    <s v="Day-3"/>
    <x v="2"/>
    <x v="1"/>
    <x v="3"/>
    <d v="1899-12-30T20:00:00"/>
    <s v="Grilled fish + vegetables"/>
    <x v="4"/>
    <x v="40"/>
    <x v="47"/>
    <x v="16"/>
    <x v="2"/>
    <n v="60"/>
    <s v=""/>
    <n v="343"/>
    <x v="1"/>
    <m/>
    <m/>
    <m/>
  </r>
  <r>
    <s v="Day-3"/>
    <x v="3"/>
    <x v="0"/>
    <x v="3"/>
    <d v="1899-12-30T20:00:00"/>
    <s v="Grilled tofu + vegetables"/>
    <x v="44"/>
    <x v="39"/>
    <x v="46"/>
    <x v="4"/>
    <x v="20"/>
    <n v="54"/>
    <n v="313.60000000000002"/>
    <s v=""/>
    <x v="1"/>
    <m/>
    <m/>
    <m/>
  </r>
  <r>
    <s v="Day-3"/>
    <x v="3"/>
    <x v="1"/>
    <x v="3"/>
    <d v="1899-12-30T20:00:00"/>
    <s v="Grilled fish + vegetables"/>
    <x v="4"/>
    <x v="40"/>
    <x v="47"/>
    <x v="16"/>
    <x v="2"/>
    <n v="56"/>
    <s v=""/>
    <n v="343"/>
    <x v="1"/>
    <m/>
    <m/>
    <m/>
  </r>
  <r>
    <s v="Day-4"/>
    <x v="0"/>
    <x v="0"/>
    <x v="3"/>
    <d v="1899-12-30T20:00:00"/>
    <s v="Grilled tofu + vegetables"/>
    <x v="45"/>
    <x v="41"/>
    <x v="48"/>
    <x v="6"/>
    <x v="20"/>
    <n v="41"/>
    <n v="316.8"/>
    <s v=""/>
    <x v="1"/>
    <m/>
    <m/>
    <m/>
  </r>
  <r>
    <s v="Day-4"/>
    <x v="0"/>
    <x v="1"/>
    <x v="3"/>
    <d v="1899-12-30T20:00:00"/>
    <s v="Grilled fish + vegetables"/>
    <x v="6"/>
    <x v="42"/>
    <x v="49"/>
    <x v="17"/>
    <x v="2"/>
    <n v="42"/>
    <s v=""/>
    <n v="346.5"/>
    <x v="1"/>
    <m/>
    <m/>
    <m/>
  </r>
  <r>
    <s v="Day-4"/>
    <x v="1"/>
    <x v="0"/>
    <x v="3"/>
    <d v="1899-12-30T20:00:00"/>
    <s v="Grilled tofu + vegetables"/>
    <x v="45"/>
    <x v="41"/>
    <x v="48"/>
    <x v="6"/>
    <x v="20"/>
    <n v="46"/>
    <n v="316.8"/>
    <s v=""/>
    <x v="1"/>
    <m/>
    <m/>
    <m/>
  </r>
  <r>
    <s v="Day-4"/>
    <x v="1"/>
    <x v="1"/>
    <x v="3"/>
    <d v="1899-12-30T20:00:00"/>
    <s v="Grilled fish + vegetables"/>
    <x v="6"/>
    <x v="42"/>
    <x v="49"/>
    <x v="17"/>
    <x v="2"/>
    <n v="48"/>
    <s v=""/>
    <n v="346.5"/>
    <x v="1"/>
    <m/>
    <m/>
    <m/>
  </r>
  <r>
    <s v="Day-4"/>
    <x v="2"/>
    <x v="0"/>
    <x v="3"/>
    <d v="1899-12-30T20:00:00"/>
    <s v="Grilled tofu + vegetables"/>
    <x v="45"/>
    <x v="41"/>
    <x v="48"/>
    <x v="6"/>
    <x v="20"/>
    <n v="56"/>
    <n v="316.8"/>
    <s v=""/>
    <x v="1"/>
    <m/>
    <m/>
    <m/>
  </r>
  <r>
    <s v="Day-4"/>
    <x v="2"/>
    <x v="1"/>
    <x v="3"/>
    <d v="1899-12-30T20:00:00"/>
    <s v="Grilled fish + vegetables"/>
    <x v="6"/>
    <x v="42"/>
    <x v="49"/>
    <x v="17"/>
    <x v="2"/>
    <n v="59"/>
    <s v=""/>
    <n v="346.5"/>
    <x v="1"/>
    <m/>
    <m/>
    <m/>
  </r>
  <r>
    <s v="Day-4"/>
    <x v="3"/>
    <x v="0"/>
    <x v="3"/>
    <d v="1899-12-30T20:00:00"/>
    <s v="Grilled tofu + vegetables"/>
    <x v="45"/>
    <x v="41"/>
    <x v="48"/>
    <x v="6"/>
    <x v="20"/>
    <n v="50"/>
    <n v="316.8"/>
    <s v=""/>
    <x v="1"/>
    <m/>
    <m/>
    <m/>
  </r>
  <r>
    <s v="Day-4"/>
    <x v="3"/>
    <x v="1"/>
    <x v="3"/>
    <d v="1899-12-30T20:00:00"/>
    <s v="Grilled fish + vegetables"/>
    <x v="6"/>
    <x v="42"/>
    <x v="49"/>
    <x v="17"/>
    <x v="2"/>
    <n v="56"/>
    <s v=""/>
    <n v="346.5"/>
    <x v="1"/>
    <m/>
    <m/>
    <m/>
  </r>
  <r>
    <s v="Day-5"/>
    <x v="0"/>
    <x v="0"/>
    <x v="3"/>
    <d v="1899-12-30T20:00:00"/>
    <s v="Grilled tofu + vegetables"/>
    <x v="46"/>
    <x v="43"/>
    <x v="50"/>
    <x v="8"/>
    <x v="21"/>
    <n v="42"/>
    <n v="320"/>
    <s v=""/>
    <x v="1"/>
    <m/>
    <m/>
    <m/>
  </r>
  <r>
    <s v="Day-5"/>
    <x v="0"/>
    <x v="1"/>
    <x v="3"/>
    <d v="1899-12-30T20:00:00"/>
    <s v="Grilled fish + vegetables"/>
    <x v="8"/>
    <x v="44"/>
    <x v="51"/>
    <x v="18"/>
    <x v="5"/>
    <n v="47"/>
    <s v=""/>
    <n v="350"/>
    <x v="1"/>
    <m/>
    <m/>
    <m/>
  </r>
  <r>
    <s v="Day-5"/>
    <x v="1"/>
    <x v="0"/>
    <x v="3"/>
    <d v="1899-12-30T20:00:00"/>
    <s v="Grilled tofu + vegetables"/>
    <x v="46"/>
    <x v="43"/>
    <x v="50"/>
    <x v="8"/>
    <x v="21"/>
    <n v="43"/>
    <n v="320"/>
    <s v=""/>
    <x v="1"/>
    <m/>
    <m/>
    <m/>
  </r>
  <r>
    <s v="Day-5"/>
    <x v="1"/>
    <x v="1"/>
    <x v="3"/>
    <d v="1899-12-30T20:00:00"/>
    <s v="Grilled fish + vegetables"/>
    <x v="8"/>
    <x v="44"/>
    <x v="51"/>
    <x v="18"/>
    <x v="5"/>
    <n v="58"/>
    <s v=""/>
    <n v="350"/>
    <x v="1"/>
    <m/>
    <m/>
    <m/>
  </r>
  <r>
    <s v="Day-5"/>
    <x v="2"/>
    <x v="0"/>
    <x v="3"/>
    <d v="1899-12-30T20:00:00"/>
    <s v="Grilled tofu + vegetables"/>
    <x v="46"/>
    <x v="43"/>
    <x v="50"/>
    <x v="8"/>
    <x v="21"/>
    <n v="57"/>
    <n v="320"/>
    <s v=""/>
    <x v="1"/>
    <m/>
    <m/>
    <m/>
  </r>
  <r>
    <s v="Day-5"/>
    <x v="2"/>
    <x v="1"/>
    <x v="3"/>
    <d v="1899-12-30T20:00:00"/>
    <s v="Grilled fish + vegetables"/>
    <x v="8"/>
    <x v="44"/>
    <x v="51"/>
    <x v="18"/>
    <x v="5"/>
    <n v="60"/>
    <s v=""/>
    <n v="350"/>
    <x v="1"/>
    <m/>
    <m/>
    <m/>
  </r>
  <r>
    <s v="Day-5"/>
    <x v="3"/>
    <x v="0"/>
    <x v="3"/>
    <d v="1899-12-30T20:00:00"/>
    <s v="Grilled tofu + vegetables"/>
    <x v="46"/>
    <x v="43"/>
    <x v="50"/>
    <x v="8"/>
    <x v="21"/>
    <n v="52"/>
    <n v="320"/>
    <s v=""/>
    <x v="1"/>
    <m/>
    <m/>
    <m/>
  </r>
  <r>
    <s v="Day-5"/>
    <x v="3"/>
    <x v="1"/>
    <x v="3"/>
    <d v="1899-12-30T20:00:00"/>
    <s v="Grilled fish + vegetables"/>
    <x v="8"/>
    <x v="44"/>
    <x v="51"/>
    <x v="18"/>
    <x v="5"/>
    <n v="57"/>
    <s v=""/>
    <n v="350"/>
    <x v="1"/>
    <m/>
    <m/>
    <m/>
  </r>
  <r>
    <s v="Day-6"/>
    <x v="0"/>
    <x v="0"/>
    <x v="3"/>
    <d v="1899-12-30T20:00:00"/>
    <s v="Grilled tofu + vegetables"/>
    <x v="47"/>
    <x v="45"/>
    <x v="52"/>
    <x v="10"/>
    <x v="22"/>
    <n v="38"/>
    <n v="323.2"/>
    <s v=""/>
    <x v="1"/>
    <m/>
    <m/>
    <m/>
  </r>
  <r>
    <s v="Day-6"/>
    <x v="0"/>
    <x v="1"/>
    <x v="3"/>
    <d v="1899-12-30T20:00:00"/>
    <s v="Grilled fish + vegetables"/>
    <x v="10"/>
    <x v="46"/>
    <x v="53"/>
    <x v="19"/>
    <x v="6"/>
    <n v="40"/>
    <s v=""/>
    <n v="353.5"/>
    <x v="1"/>
    <m/>
    <m/>
    <m/>
  </r>
  <r>
    <s v="Day-6"/>
    <x v="1"/>
    <x v="0"/>
    <x v="3"/>
    <d v="1899-12-30T20:00:00"/>
    <s v="Grilled tofu + vegetables"/>
    <x v="47"/>
    <x v="45"/>
    <x v="52"/>
    <x v="10"/>
    <x v="22"/>
    <n v="40"/>
    <n v="323.2"/>
    <s v=""/>
    <x v="1"/>
    <m/>
    <m/>
    <m/>
  </r>
  <r>
    <s v="Day-6"/>
    <x v="1"/>
    <x v="1"/>
    <x v="3"/>
    <d v="1899-12-30T20:00:00"/>
    <s v="Grilled fish + vegetables"/>
    <x v="10"/>
    <x v="46"/>
    <x v="53"/>
    <x v="19"/>
    <x v="6"/>
    <n v="47"/>
    <s v=""/>
    <n v="353.5"/>
    <x v="1"/>
    <m/>
    <m/>
    <m/>
  </r>
  <r>
    <s v="Day-6"/>
    <x v="2"/>
    <x v="0"/>
    <x v="3"/>
    <d v="1899-12-30T20:00:00"/>
    <s v="Grilled tofu + vegetables"/>
    <x v="47"/>
    <x v="45"/>
    <x v="52"/>
    <x v="10"/>
    <x v="22"/>
    <n v="53"/>
    <n v="323.2"/>
    <s v=""/>
    <x v="1"/>
    <m/>
    <m/>
    <m/>
  </r>
  <r>
    <s v="Day-6"/>
    <x v="2"/>
    <x v="1"/>
    <x v="3"/>
    <d v="1899-12-30T20:00:00"/>
    <s v="Grilled fish + vegetables"/>
    <x v="10"/>
    <x v="46"/>
    <x v="53"/>
    <x v="19"/>
    <x v="6"/>
    <n v="59"/>
    <s v=""/>
    <n v="353.5"/>
    <x v="1"/>
    <m/>
    <m/>
    <m/>
  </r>
  <r>
    <s v="Day-6"/>
    <x v="3"/>
    <x v="0"/>
    <x v="3"/>
    <d v="1899-12-30T20:00:00"/>
    <s v="Grilled tofu + vegetables"/>
    <x v="47"/>
    <x v="45"/>
    <x v="52"/>
    <x v="10"/>
    <x v="22"/>
    <n v="48"/>
    <n v="323.2"/>
    <s v=""/>
    <x v="1"/>
    <m/>
    <m/>
    <m/>
  </r>
  <r>
    <s v="Day-6"/>
    <x v="3"/>
    <x v="1"/>
    <x v="3"/>
    <d v="1899-12-30T20:00:00"/>
    <s v="Grilled fish + vegetables"/>
    <x v="10"/>
    <x v="46"/>
    <x v="53"/>
    <x v="19"/>
    <x v="6"/>
    <n v="54"/>
    <s v=""/>
    <n v="353.5"/>
    <x v="1"/>
    <m/>
    <m/>
    <m/>
  </r>
  <r>
    <s v="Day-7"/>
    <x v="0"/>
    <x v="0"/>
    <x v="3"/>
    <d v="1899-12-30T20:00:00"/>
    <s v="Grilled tofu + vegetables"/>
    <x v="48"/>
    <x v="47"/>
    <x v="54"/>
    <x v="12"/>
    <x v="22"/>
    <n v="40"/>
    <n v="326.39999999999998"/>
    <s v=""/>
    <x v="1"/>
    <m/>
    <m/>
    <m/>
  </r>
  <r>
    <s v="Day-7"/>
    <x v="0"/>
    <x v="1"/>
    <x v="3"/>
    <d v="1899-12-30T20:00:00"/>
    <s v="Grilled fish + vegetables"/>
    <x v="12"/>
    <x v="48"/>
    <x v="55"/>
    <x v="20"/>
    <x v="6"/>
    <n v="42"/>
    <s v=""/>
    <n v="357"/>
    <x v="1"/>
    <m/>
    <m/>
    <m/>
  </r>
  <r>
    <s v="Day-7"/>
    <x v="1"/>
    <x v="0"/>
    <x v="3"/>
    <d v="1899-12-30T20:00:00"/>
    <s v="Grilled tofu + vegetables"/>
    <x v="48"/>
    <x v="47"/>
    <x v="54"/>
    <x v="12"/>
    <x v="22"/>
    <n v="46"/>
    <n v="326.39999999999998"/>
    <s v=""/>
    <x v="1"/>
    <m/>
    <m/>
    <m/>
  </r>
  <r>
    <s v="Day-7"/>
    <x v="1"/>
    <x v="1"/>
    <x v="3"/>
    <d v="1899-12-30T20:00:00"/>
    <s v="Grilled fish + vegetables"/>
    <x v="12"/>
    <x v="48"/>
    <x v="55"/>
    <x v="20"/>
    <x v="6"/>
    <n v="49"/>
    <s v=""/>
    <n v="357"/>
    <x v="1"/>
    <m/>
    <m/>
    <m/>
  </r>
  <r>
    <s v="Day-7"/>
    <x v="2"/>
    <x v="0"/>
    <x v="3"/>
    <d v="1899-12-30T20:00:00"/>
    <s v="Grilled tofu + vegetables"/>
    <x v="48"/>
    <x v="47"/>
    <x v="54"/>
    <x v="12"/>
    <x v="22"/>
    <n v="58"/>
    <n v="326.39999999999998"/>
    <s v=""/>
    <x v="1"/>
    <m/>
    <m/>
    <m/>
  </r>
  <r>
    <s v="Day-7"/>
    <x v="2"/>
    <x v="1"/>
    <x v="3"/>
    <d v="1899-12-30T20:00:00"/>
    <s v="Grilled fish + vegetables"/>
    <x v="12"/>
    <x v="48"/>
    <x v="55"/>
    <x v="20"/>
    <x v="6"/>
    <n v="60"/>
    <s v=""/>
    <n v="357"/>
    <x v="1"/>
    <m/>
    <m/>
    <m/>
  </r>
  <r>
    <s v="Day-7"/>
    <x v="3"/>
    <x v="0"/>
    <x v="3"/>
    <d v="1899-12-30T20:00:00"/>
    <s v="Grilled tofu + vegetables"/>
    <x v="48"/>
    <x v="47"/>
    <x v="54"/>
    <x v="12"/>
    <x v="22"/>
    <n v="50"/>
    <n v="326.39999999999998"/>
    <s v=""/>
    <x v="1"/>
    <m/>
    <m/>
    <m/>
  </r>
  <r>
    <s v="Day-7"/>
    <x v="3"/>
    <x v="1"/>
    <x v="3"/>
    <d v="1899-12-30T20:00:00"/>
    <s v="Grilled fish + vegetables"/>
    <x v="12"/>
    <x v="48"/>
    <x v="55"/>
    <x v="20"/>
    <x v="6"/>
    <n v="54"/>
    <s v=""/>
    <n v="357"/>
    <x v="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BC2E60-95E5-4664-9027-E626EA6B7785}"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C2:D6" firstHeaderRow="1" firstDataRow="1" firstDataCol="1"/>
  <pivotFields count="18">
    <pivotField showAll="0"/>
    <pivotField showAll="0">
      <items count="5">
        <item x="1"/>
        <item x="0"/>
        <item x="3"/>
        <item x="2"/>
        <item t="default"/>
      </items>
    </pivotField>
    <pivotField showAll="0">
      <items count="3">
        <item x="1"/>
        <item x="0"/>
        <item t="default"/>
      </items>
    </pivotField>
    <pivotField axis="axisRow" showAll="0">
      <items count="5">
        <item x="0"/>
        <item x="3"/>
        <item x="1"/>
        <item x="2"/>
        <item t="default"/>
      </items>
    </pivotField>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3"/>
  </rowFields>
  <rowItems count="4">
    <i>
      <x/>
    </i>
    <i>
      <x v="1"/>
    </i>
    <i>
      <x v="2"/>
    </i>
    <i>
      <x v="3"/>
    </i>
  </rowItems>
  <colItems count="1">
    <i/>
  </colItems>
  <dataFields count="1">
    <dataField name="Average of Glycemic Index" fld="11" subtotal="average" baseField="3" baseItem="0"/>
  </dataFields>
  <chartFormats count="5">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1"/>
          </reference>
        </references>
      </pivotArea>
    </chartFormat>
    <chartFormat chart="3" format="4">
      <pivotArea type="data" outline="0" fieldPosition="0">
        <references count="2">
          <reference field="4294967294" count="1" selected="0">
            <x v="0"/>
          </reference>
          <reference field="3" count="1" selected="0">
            <x v="2"/>
          </reference>
        </references>
      </pivotArea>
    </chartFormat>
    <chartFormat chart="3" format="5">
      <pivotArea type="data" outline="0" fieldPosition="0">
        <references count="2">
          <reference field="4294967294" count="1" selected="0">
            <x v="0"/>
          </reference>
          <reference field="3" count="1" selected="0">
            <x v="3"/>
          </reference>
        </references>
      </pivotArea>
    </chartFormat>
    <chartFormat chart="3" format="6">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5C0A3D-2507-4528-A786-B7B9B9DCB291}"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C29:D31" firstHeaderRow="1" firstDataRow="1" firstDataCol="1"/>
  <pivotFields count="18">
    <pivotField showAll="0"/>
    <pivotField showAll="0">
      <items count="5">
        <item x="1"/>
        <item x="0"/>
        <item x="3"/>
        <item x="2"/>
        <item t="default"/>
      </items>
    </pivotField>
    <pivotField axis="axisRow" showAll="0">
      <items count="3">
        <item x="1"/>
        <item x="0"/>
        <item t="default"/>
      </items>
    </pivotField>
    <pivotField showAll="0">
      <items count="5">
        <item x="0"/>
        <item x="3"/>
        <item x="1"/>
        <item x="2"/>
        <item t="default"/>
      </items>
    </pivotField>
    <pivotField numFmtId="18"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i>
    <i>
      <x v="1"/>
    </i>
  </rowItems>
  <colItems count="1">
    <i/>
  </colItems>
  <dataFields count="1">
    <dataField name="Sum of Calories" fld="6" baseField="0" baseItem="0"/>
  </dataFields>
  <chartFormats count="2">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FF5EFC-BC1C-427C-918D-BA18F0126650}"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C22:G27" firstHeaderRow="1" firstDataRow="2" firstDataCol="1"/>
  <pivotFields count="18">
    <pivotField showAll="0"/>
    <pivotField axis="axisRow" showAll="0">
      <items count="5">
        <item x="1"/>
        <item x="0"/>
        <item x="3"/>
        <item x="2"/>
        <item t="default"/>
      </items>
    </pivotField>
    <pivotField showAll="0">
      <items count="3">
        <item x="1"/>
        <item x="0"/>
        <item t="default"/>
      </items>
    </pivotField>
    <pivotField axis="axisCol" showAll="0">
      <items count="5">
        <item x="0"/>
        <item x="3"/>
        <item x="1"/>
        <item x="2"/>
        <item t="default"/>
      </items>
    </pivotField>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1"/>
  </rowFields>
  <rowItems count="4">
    <i>
      <x/>
    </i>
    <i>
      <x v="1"/>
    </i>
    <i>
      <x v="2"/>
    </i>
    <i>
      <x v="3"/>
    </i>
  </rowItems>
  <colFields count="1">
    <field x="3"/>
  </colFields>
  <colItems count="4">
    <i>
      <x/>
    </i>
    <i>
      <x v="1"/>
    </i>
    <i>
      <x v="2"/>
    </i>
    <i>
      <x v="3"/>
    </i>
  </colItems>
  <dataFields count="1">
    <dataField name="Average of Glycemic Index" fld="11" subtotal="average" baseField="3" baseItem="0"/>
  </dataFields>
  <chartFormats count="18">
    <chartFormat chart="2" format="8" series="1">
      <pivotArea type="data" outline="0" fieldPosition="0">
        <references count="2">
          <reference field="4294967294" count="1" selected="0">
            <x v="0"/>
          </reference>
          <reference field="3" count="1" selected="0">
            <x v="0"/>
          </reference>
        </references>
      </pivotArea>
    </chartFormat>
    <chartFormat chart="2" format="9" series="1">
      <pivotArea type="data" outline="0" fieldPosition="0">
        <references count="2">
          <reference field="4294967294" count="1" selected="0">
            <x v="0"/>
          </reference>
          <reference field="3" count="1" selected="0">
            <x v="1"/>
          </reference>
        </references>
      </pivotArea>
    </chartFormat>
    <chartFormat chart="2" format="10" series="1">
      <pivotArea type="data" outline="0" fieldPosition="0">
        <references count="2">
          <reference field="4294967294" count="1" selected="0">
            <x v="0"/>
          </reference>
          <reference field="3" count="1" selected="0">
            <x v="2"/>
          </reference>
        </references>
      </pivotArea>
    </chartFormat>
    <chartFormat chart="2" format="11" series="1">
      <pivotArea type="data" outline="0" fieldPosition="0">
        <references count="2">
          <reference field="4294967294" count="1" selected="0">
            <x v="0"/>
          </reference>
          <reference field="3" count="1" selected="0">
            <x v="3"/>
          </reference>
        </references>
      </pivotArea>
    </chartFormat>
    <chartFormat chart="2" format="12">
      <pivotArea type="data" outline="0" fieldPosition="0">
        <references count="3">
          <reference field="4294967294" count="1" selected="0">
            <x v="0"/>
          </reference>
          <reference field="1" count="1" selected="0">
            <x v="3"/>
          </reference>
          <reference field="3" count="1" selected="0">
            <x v="3"/>
          </reference>
        </references>
      </pivotArea>
    </chartFormat>
    <chartFormat chart="2" format="13">
      <pivotArea type="data" outline="0" fieldPosition="0">
        <references count="3">
          <reference field="4294967294" count="1" selected="0">
            <x v="0"/>
          </reference>
          <reference field="1" count="1" selected="0">
            <x v="3"/>
          </reference>
          <reference field="3" count="1" selected="0">
            <x v="0"/>
          </reference>
        </references>
      </pivotArea>
    </chartFormat>
    <chartFormat chart="2" format="14">
      <pivotArea type="data" outline="0" fieldPosition="0">
        <references count="3">
          <reference field="4294967294" count="1" selected="0">
            <x v="0"/>
          </reference>
          <reference field="1" count="1" selected="0">
            <x v="2"/>
          </reference>
          <reference field="3" count="1" selected="0">
            <x v="2"/>
          </reference>
        </references>
      </pivotArea>
    </chartFormat>
    <chartFormat chart="2" format="15">
      <pivotArea type="data" outline="0" fieldPosition="0">
        <references count="3">
          <reference field="4294967294" count="1" selected="0">
            <x v="0"/>
          </reference>
          <reference field="1" count="1" selected="0">
            <x v="2"/>
          </reference>
          <reference field="3" count="1" selected="0">
            <x v="0"/>
          </reference>
        </references>
      </pivotArea>
    </chartFormat>
    <chartFormat chart="2" format="16">
      <pivotArea type="data" outline="0" fieldPosition="0">
        <references count="3">
          <reference field="4294967294" count="1" selected="0">
            <x v="0"/>
          </reference>
          <reference field="1" count="1" selected="0">
            <x v="2"/>
          </reference>
          <reference field="3" count="1" selected="0">
            <x v="1"/>
          </reference>
        </references>
      </pivotArea>
    </chartFormat>
    <chartFormat chart="2" format="17">
      <pivotArea type="data" outline="0" fieldPosition="0">
        <references count="3">
          <reference field="4294967294" count="1" selected="0">
            <x v="0"/>
          </reference>
          <reference field="1" count="1" selected="0">
            <x v="0"/>
          </reference>
          <reference field="3" count="1" selected="0">
            <x v="2"/>
          </reference>
        </references>
      </pivotArea>
    </chartFormat>
    <chartFormat chart="2" format="18">
      <pivotArea type="data" outline="0" fieldPosition="0">
        <references count="3">
          <reference field="4294967294" count="1" selected="0">
            <x v="0"/>
          </reference>
          <reference field="1" count="1" selected="0">
            <x v="0"/>
          </reference>
          <reference field="3" count="1" selected="0">
            <x v="0"/>
          </reference>
        </references>
      </pivotArea>
    </chartFormat>
    <chartFormat chart="2" format="19">
      <pivotArea type="data" outline="0" fieldPosition="0">
        <references count="3">
          <reference field="4294967294" count="1" selected="0">
            <x v="0"/>
          </reference>
          <reference field="1" count="1" selected="0">
            <x v="0"/>
          </reference>
          <reference field="3" count="1" selected="0">
            <x v="1"/>
          </reference>
        </references>
      </pivotArea>
    </chartFormat>
    <chartFormat chart="2" format="20">
      <pivotArea type="data" outline="0" fieldPosition="0">
        <references count="3">
          <reference field="4294967294" count="1" selected="0">
            <x v="0"/>
          </reference>
          <reference field="1" count="1" selected="0">
            <x v="1"/>
          </reference>
          <reference field="3" count="1" selected="0">
            <x v="0"/>
          </reference>
        </references>
      </pivotArea>
    </chartFormat>
    <chartFormat chart="2" format="21">
      <pivotArea type="data" outline="0" fieldPosition="0">
        <references count="3">
          <reference field="4294967294" count="1" selected="0">
            <x v="0"/>
          </reference>
          <reference field="1" count="1" selected="0">
            <x v="1"/>
          </reference>
          <reference field="3" count="1" selected="0">
            <x v="2"/>
          </reference>
        </references>
      </pivotArea>
    </chartFormat>
    <chartFormat chart="2" format="22">
      <pivotArea type="data" outline="0" fieldPosition="0">
        <references count="3">
          <reference field="4294967294" count="1" selected="0">
            <x v="0"/>
          </reference>
          <reference field="1" count="1" selected="0">
            <x v="1"/>
          </reference>
          <reference field="3" count="1" selected="0">
            <x v="1"/>
          </reference>
        </references>
      </pivotArea>
    </chartFormat>
    <chartFormat chart="2" format="23">
      <pivotArea type="data" outline="0" fieldPosition="0">
        <references count="3">
          <reference field="4294967294" count="1" selected="0">
            <x v="0"/>
          </reference>
          <reference field="1" count="1" selected="0">
            <x v="1"/>
          </reference>
          <reference field="3" count="1" selected="0">
            <x v="3"/>
          </reference>
        </references>
      </pivotArea>
    </chartFormat>
    <chartFormat chart="2" format="24" series="1">
      <pivotArea type="data" outline="0" fieldPosition="0">
        <references count="1">
          <reference field="4294967294" count="1" selected="0">
            <x v="0"/>
          </reference>
        </references>
      </pivotArea>
    </chartFormat>
    <chartFormat chart="2" format="25">
      <pivotArea type="data" outline="0" fieldPosition="0">
        <references count="3">
          <reference field="4294967294" count="1" selected="0">
            <x v="0"/>
          </reference>
          <reference field="1" count="1" selected="0">
            <x v="3"/>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407205-A820-41CB-9CA3-305E286001D5}"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C17:F18" firstHeaderRow="0" firstDataRow="1" firstDataCol="0"/>
  <pivotFields count="18">
    <pivotField showAll="0"/>
    <pivotField showAll="0">
      <items count="5">
        <item x="1"/>
        <item x="0"/>
        <item x="3"/>
        <item x="2"/>
        <item t="default"/>
      </items>
    </pivotField>
    <pivotField showAll="0">
      <items count="3">
        <item x="1"/>
        <item x="0"/>
        <item t="default"/>
      </items>
    </pivotField>
    <pivotField showAll="0">
      <items count="5">
        <item x="0"/>
        <item x="3"/>
        <item x="1"/>
        <item x="2"/>
        <item t="default"/>
      </items>
    </pivotField>
    <pivotField numFmtId="18" showAll="0"/>
    <pivotField showAll="0"/>
    <pivotField showAll="0">
      <items count="50">
        <item x="28"/>
        <item x="30"/>
        <item x="32"/>
        <item x="34"/>
        <item x="36"/>
        <item x="38"/>
        <item x="40"/>
        <item x="29"/>
        <item x="31"/>
        <item x="33"/>
        <item x="35"/>
        <item x="37"/>
        <item x="39"/>
        <item x="41"/>
        <item x="42"/>
        <item x="43"/>
        <item x="44"/>
        <item x="45"/>
        <item x="46"/>
        <item x="47"/>
        <item x="48"/>
        <item x="0"/>
        <item x="2"/>
        <item x="4"/>
        <item x="1"/>
        <item x="6"/>
        <item x="3"/>
        <item x="8"/>
        <item x="5"/>
        <item x="10"/>
        <item x="7"/>
        <item x="12"/>
        <item x="9"/>
        <item x="11"/>
        <item x="13"/>
        <item x="14"/>
        <item x="16"/>
        <item x="18"/>
        <item x="20"/>
        <item x="22"/>
        <item x="24"/>
        <item x="26"/>
        <item x="15"/>
        <item x="17"/>
        <item x="19"/>
        <item x="21"/>
        <item x="23"/>
        <item x="25"/>
        <item x="27"/>
        <item t="default"/>
      </items>
    </pivotField>
    <pivotField dataField="1" showAll="0"/>
    <pivotField dataField="1" showAll="0"/>
    <pivotField dataField="1" showAll="0"/>
    <pivotField dataField="1" showAll="0"/>
    <pivotField showAll="0"/>
    <pivotField showAll="0"/>
    <pivotField showAll="0"/>
    <pivotField showAll="0">
      <items count="3">
        <item x="0"/>
        <item x="1"/>
        <item t="default"/>
      </items>
    </pivotField>
    <pivotField showAll="0"/>
    <pivotField showAll="0"/>
    <pivotField showAll="0"/>
  </pivotFields>
  <rowItems count="1">
    <i/>
  </rowItems>
  <colFields count="1">
    <field x="-2"/>
  </colFields>
  <colItems count="4">
    <i>
      <x/>
    </i>
    <i i="1">
      <x v="1"/>
    </i>
    <i i="2">
      <x v="2"/>
    </i>
    <i i="3">
      <x v="3"/>
    </i>
  </colItems>
  <dataFields count="4">
    <dataField name="Average of Protein" fld="7" subtotal="average" baseField="0" baseItem="0"/>
    <dataField name="Average of Carbs" fld="8" subtotal="average" baseField="0" baseItem="1"/>
    <dataField name="Average of Fat" fld="9" subtotal="average" baseField="0" baseItem="1"/>
    <dataField name="Average of Fiber" fld="10" subtotal="average" baseField="0" baseItem="1"/>
  </dataFields>
  <chartFormats count="6">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2"/>
          </reference>
        </references>
      </pivotArea>
    </chartFormat>
    <chartFormat chart="2" format="11" series="1">
      <pivotArea type="data" outline="0" fieldPosition="0">
        <references count="1">
          <reference field="4294967294" count="1" selected="0">
            <x v="3"/>
          </reference>
        </references>
      </pivotArea>
    </chartFormat>
    <chartFormat chart="2" format="12">
      <pivotArea type="data" outline="0" fieldPosition="0">
        <references count="1">
          <reference field="4294967294" count="1" selected="0">
            <x v="3"/>
          </reference>
        </references>
      </pivotArea>
    </chartFormat>
    <chartFormat chart="2" format="13">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3F3E34-EE4F-44B5-ADEA-9536B7126A65}"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C10:D14" firstHeaderRow="1" firstDataRow="1" firstDataCol="1"/>
  <pivotFields count="18">
    <pivotField showAll="0"/>
    <pivotField showAll="0">
      <items count="5">
        <item x="1"/>
        <item x="0"/>
        <item x="3"/>
        <item x="2"/>
        <item t="default"/>
      </items>
    </pivotField>
    <pivotField showAll="0">
      <items count="3">
        <item x="1"/>
        <item x="0"/>
        <item t="default"/>
      </items>
    </pivotField>
    <pivotField axis="axisRow" showAll="0">
      <items count="5">
        <item x="0"/>
        <item x="3"/>
        <item x="1"/>
        <item x="2"/>
        <item t="default"/>
      </items>
    </pivotField>
    <pivotField numFmtId="18" showAll="0"/>
    <pivotField showAll="0"/>
    <pivotField dataField="1" showAll="0">
      <items count="50">
        <item x="28"/>
        <item x="30"/>
        <item x="32"/>
        <item x="34"/>
        <item x="36"/>
        <item x="38"/>
        <item x="40"/>
        <item x="29"/>
        <item x="31"/>
        <item x="33"/>
        <item x="35"/>
        <item x="37"/>
        <item x="39"/>
        <item x="41"/>
        <item x="42"/>
        <item x="43"/>
        <item x="44"/>
        <item x="45"/>
        <item x="46"/>
        <item x="47"/>
        <item x="48"/>
        <item x="0"/>
        <item x="2"/>
        <item x="4"/>
        <item x="1"/>
        <item x="6"/>
        <item x="3"/>
        <item x="8"/>
        <item x="5"/>
        <item x="10"/>
        <item x="7"/>
        <item x="12"/>
        <item x="9"/>
        <item x="11"/>
        <item x="13"/>
        <item x="14"/>
        <item x="16"/>
        <item x="18"/>
        <item x="20"/>
        <item x="22"/>
        <item x="24"/>
        <item x="26"/>
        <item x="15"/>
        <item x="17"/>
        <item x="19"/>
        <item x="21"/>
        <item x="23"/>
        <item x="25"/>
        <item x="27"/>
        <item t="default"/>
      </items>
    </pivotField>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s>
  <rowFields count="1">
    <field x="3"/>
  </rowFields>
  <rowItems count="4">
    <i>
      <x/>
    </i>
    <i>
      <x v="1"/>
    </i>
    <i>
      <x v="2"/>
    </i>
    <i>
      <x v="3"/>
    </i>
  </rowItems>
  <colItems count="1">
    <i/>
  </colItems>
  <dataFields count="1">
    <dataField name="Average of Calories" fld="6" subtotal="average" baseField="3"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 chart="2" format="9">
      <pivotArea type="data" outline="0" fieldPosition="0">
        <references count="2">
          <reference field="4294967294" count="1" selected="0">
            <x v="0"/>
          </reference>
          <reference field="3" count="1" selected="0">
            <x v="2"/>
          </reference>
        </references>
      </pivotArea>
    </chartFormat>
    <chartFormat chart="2"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g_NonVeg" xr10:uid="{A30E0880-D48F-4121-A502-702EF4FCB26E}" sourceName="Veg_NonVeg">
  <pivotTables>
    <pivotTable tabId="2" name="PivotTable1"/>
    <pivotTable tabId="2" name="PivotTable2"/>
    <pivotTable tabId="2" name="PivotTable3"/>
    <pivotTable tabId="2" name="PivotTable4"/>
    <pivotTable tabId="2" name="PivotTable5"/>
  </pivotTables>
  <data>
    <tabular pivotCacheId="1085056178">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al" xr10:uid="{D10658BB-BFDF-4E69-80D5-2BF8BCC9DF43}" sourceName="Meal">
  <pivotTables>
    <pivotTable tabId="2" name="PivotTable1"/>
    <pivotTable tabId="2" name="PivotTable2"/>
    <pivotTable tabId="2" name="PivotTable3"/>
    <pivotTable tabId="2" name="PivotTable4"/>
    <pivotTable tabId="2" name="PivotTable5"/>
  </pivotTables>
  <data>
    <tabular pivotCacheId="1085056178">
      <items count="4">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g_NonVeg" xr10:uid="{948BB0BB-DEE9-4066-8F9B-FBFD5D791F16}" cache="Slicer_Veg_NonVeg" caption="Veg_NonVeg" rowHeight="298450"/>
  <slicer name="Meal" xr10:uid="{F02B00E5-34F0-46E4-B8FD-F27FB20B3955}" cache="Slicer_Meal" caption="Meal" rowHeight="2984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576B22-BDAB-4611-8627-79E29A4F7A3F}" name="Table2" displayName="Table2" ref="A1:R225" totalsRowShown="0" headerRowDxfId="1">
  <autoFilter ref="A1:R225" xr:uid="{96576B22-BDAB-4611-8627-79E29A4F7A3F}"/>
  <tableColumns count="18">
    <tableColumn id="1" xr3:uid="{44F1CDAB-7153-44B6-88FE-51333FB649FB}" name="Day_No"/>
    <tableColumn id="2" xr3:uid="{0C1B0C8E-4536-42E7-8128-47F29A41C609}" name="Group_Status"/>
    <tableColumn id="3" xr3:uid="{E23AE6CD-CD27-47D8-8496-50AA57122AA7}" name="Veg_NonVeg"/>
    <tableColumn id="4" xr3:uid="{68433B72-DD4E-4BED-ACC2-8BD7D713ABF4}" name="Meal"/>
    <tableColumn id="5" xr3:uid="{079A75D4-DC66-44A6-B0F4-EC4F81A6A8FC}" name="Time" dataDxfId="0"/>
    <tableColumn id="6" xr3:uid="{F9BB7A36-9C53-4233-A397-09AC2A1F7E6D}" name="Dish"/>
    <tableColumn id="7" xr3:uid="{C9430139-06A5-4B83-9684-5337B15DB323}" name="Calories"/>
    <tableColumn id="8" xr3:uid="{E91E3F5B-3AC7-40F2-A55F-03B4CBEA074D}" name="Protein"/>
    <tableColumn id="9" xr3:uid="{9EC3A234-8D5E-47D9-9ABB-97A3BA930E3A}" name="Carbs"/>
    <tableColumn id="10" xr3:uid="{5808A8DC-394E-40F4-8BDC-1DF3C055776E}" name="Fat"/>
    <tableColumn id="11" xr3:uid="{1E9D065C-AACF-4A65-BDF8-D5ACAC49F622}" name="Fiber"/>
    <tableColumn id="12" xr3:uid="{4DA38AC1-C6CC-4DE4-B6D3-A40DAA43CCC7}" name="Glycemic Index"/>
    <tableColumn id="13" xr3:uid="{F748C2E0-CCA6-47F0-A0FF-7A60FFC03AC5}" name="Veg_Calories">
      <calculatedColumnFormula>IF(C2="Veg",G2,"")</calculatedColumnFormula>
    </tableColumn>
    <tableColumn id="14" xr3:uid="{B8DC3430-F9DB-48DD-B00C-1DB52385EBBA}" name="Non-Veg_Calories">
      <calculatedColumnFormula>IF(C2="Non-Veg",G2,"")</calculatedColumnFormula>
    </tableColumn>
    <tableColumn id="15" xr3:uid="{B9679592-38DA-4294-9BB9-00BB218B7AFF}" name="Breakfast_Meal"/>
    <tableColumn id="16" xr3:uid="{69459ECA-C6AC-4B31-AA0F-E0AE54BE071B}" name="Lunch_Meal"/>
    <tableColumn id="17" xr3:uid="{8F1E3101-0C30-44F0-9577-499D25581E53}" name="Dinner_Meal"/>
    <tableColumn id="18" xr3:uid="{438A610F-F364-4D83-A2A9-B618679B5EDE}" name="Snack_Mea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83E65-B25C-4F68-8F22-88A5DCF14D9F}">
  <dimension ref="A1:R225"/>
  <sheetViews>
    <sheetView topLeftCell="A2" zoomScale="85" zoomScaleNormal="85" workbookViewId="0">
      <selection sqref="A1:R225"/>
    </sheetView>
  </sheetViews>
  <sheetFormatPr defaultRowHeight="18" x14ac:dyDescent="0.35"/>
  <cols>
    <col min="2" max="2" width="19.08203125" bestFit="1" customWidth="1"/>
    <col min="3" max="3" width="12.6640625" customWidth="1"/>
    <col min="5" max="5" width="7.5" bestFit="1" customWidth="1"/>
    <col min="6" max="6" width="43.4140625" bestFit="1" customWidth="1"/>
    <col min="7" max="7" width="8.75" customWidth="1"/>
    <col min="12" max="12" width="14.4140625" customWidth="1"/>
    <col min="13" max="13" width="12.75" customWidth="1"/>
    <col min="14" max="14" width="16.75" customWidth="1"/>
    <col min="15" max="15" width="15" customWidth="1"/>
    <col min="16" max="16" width="12.08203125" customWidth="1"/>
    <col min="17" max="17" width="12.83203125" customWidth="1"/>
    <col min="18" max="18" width="12" customWidth="1"/>
  </cols>
  <sheetData>
    <row r="1" spans="1:18" ht="31.2" customHeight="1" x14ac:dyDescent="0.35">
      <c r="A1" s="2" t="s">
        <v>35</v>
      </c>
      <c r="B1" s="2" t="s">
        <v>36</v>
      </c>
      <c r="C1" s="2" t="s">
        <v>34</v>
      </c>
      <c r="D1" s="2" t="s">
        <v>0</v>
      </c>
      <c r="E1" s="2" t="s">
        <v>1</v>
      </c>
      <c r="F1" s="2" t="s">
        <v>2</v>
      </c>
      <c r="G1" s="2" t="s">
        <v>3</v>
      </c>
      <c r="H1" s="2" t="s">
        <v>4</v>
      </c>
      <c r="I1" s="2" t="s">
        <v>5</v>
      </c>
      <c r="J1" s="2" t="s">
        <v>6</v>
      </c>
      <c r="K1" s="2" t="s">
        <v>7</v>
      </c>
      <c r="L1" s="2" t="s">
        <v>8</v>
      </c>
      <c r="M1" s="2" t="s">
        <v>37</v>
      </c>
      <c r="N1" s="2" t="s">
        <v>38</v>
      </c>
      <c r="O1" s="2" t="s">
        <v>39</v>
      </c>
      <c r="P1" s="2" t="s">
        <v>40</v>
      </c>
      <c r="Q1" s="2" t="s">
        <v>41</v>
      </c>
      <c r="R1" s="2" t="s">
        <v>42</v>
      </c>
    </row>
    <row r="2" spans="1:18" x14ac:dyDescent="0.35">
      <c r="A2" t="s">
        <v>9</v>
      </c>
      <c r="B2" t="s">
        <v>10</v>
      </c>
      <c r="C2" t="s">
        <v>11</v>
      </c>
      <c r="D2" t="s">
        <v>12</v>
      </c>
      <c r="E2" s="1">
        <v>0.33333333333333331</v>
      </c>
      <c r="F2" t="s">
        <v>13</v>
      </c>
      <c r="G2">
        <v>336</v>
      </c>
      <c r="H2">
        <v>19.2</v>
      </c>
      <c r="I2">
        <v>33.6</v>
      </c>
      <c r="J2">
        <v>11.5</v>
      </c>
      <c r="K2">
        <v>5.8</v>
      </c>
      <c r="L2">
        <v>45</v>
      </c>
      <c r="M2">
        <f>IF(C2="Veg",G2,"")</f>
        <v>336</v>
      </c>
      <c r="O2">
        <f>AVERAGEIF(D:D,"Breakfast",G:G)</f>
        <v>351.45</v>
      </c>
      <c r="P2">
        <f>AVERAGEIF(D:D,"Lunch",G:G)</f>
        <v>445.5</v>
      </c>
      <c r="Q2">
        <f>AVERAGEIF(D:D,"Dinner",G:G)</f>
        <v>331.65000000000015</v>
      </c>
      <c r="R2">
        <f>AVERAGEIF(D:D,"Snack",G:G)</f>
        <v>257.40000000000009</v>
      </c>
    </row>
    <row r="3" spans="1:18" x14ac:dyDescent="0.35">
      <c r="A3" t="s">
        <v>9</v>
      </c>
      <c r="B3" t="s">
        <v>10</v>
      </c>
      <c r="C3" t="s">
        <v>14</v>
      </c>
      <c r="D3" t="s">
        <v>12</v>
      </c>
      <c r="E3" s="1">
        <v>0.33333333333333331</v>
      </c>
      <c r="F3" t="s">
        <v>15</v>
      </c>
      <c r="G3">
        <v>345.6</v>
      </c>
      <c r="H3">
        <v>23</v>
      </c>
      <c r="I3">
        <v>28.8</v>
      </c>
      <c r="J3">
        <v>9.6</v>
      </c>
      <c r="K3">
        <v>4.8</v>
      </c>
      <c r="L3">
        <v>47</v>
      </c>
      <c r="M3" t="str">
        <f t="shared" ref="M3:M66" si="0">IF(C3="Veg",G3,"")</f>
        <v/>
      </c>
      <c r="N3">
        <f>IF(C3="Non-Veg",G3,"")</f>
        <v>345.6</v>
      </c>
    </row>
    <row r="4" spans="1:18" x14ac:dyDescent="0.35">
      <c r="A4" t="s">
        <v>9</v>
      </c>
      <c r="B4" t="s">
        <v>16</v>
      </c>
      <c r="C4" t="s">
        <v>11</v>
      </c>
      <c r="D4" t="s">
        <v>12</v>
      </c>
      <c r="E4" s="1">
        <v>0.33333333333333331</v>
      </c>
      <c r="F4" t="s">
        <v>13</v>
      </c>
      <c r="G4">
        <v>336</v>
      </c>
      <c r="H4">
        <v>19.2</v>
      </c>
      <c r="I4">
        <v>33.6</v>
      </c>
      <c r="J4">
        <v>11.5</v>
      </c>
      <c r="K4">
        <v>5.8</v>
      </c>
      <c r="L4">
        <v>48</v>
      </c>
      <c r="M4">
        <f t="shared" si="0"/>
        <v>336</v>
      </c>
      <c r="N4" t="str">
        <f t="shared" ref="N4:N67" si="1">IF(C4="Non-Veg",G4,"")</f>
        <v/>
      </c>
    </row>
    <row r="5" spans="1:18" x14ac:dyDescent="0.35">
      <c r="A5" t="s">
        <v>9</v>
      </c>
      <c r="B5" t="s">
        <v>16</v>
      </c>
      <c r="C5" t="s">
        <v>14</v>
      </c>
      <c r="D5" t="s">
        <v>12</v>
      </c>
      <c r="E5" s="1">
        <v>0.33333333333333331</v>
      </c>
      <c r="F5" t="s">
        <v>15</v>
      </c>
      <c r="G5">
        <v>345.6</v>
      </c>
      <c r="H5">
        <v>23</v>
      </c>
      <c r="I5">
        <v>28.8</v>
      </c>
      <c r="J5">
        <v>9.6</v>
      </c>
      <c r="K5">
        <v>4.8</v>
      </c>
      <c r="L5">
        <v>52</v>
      </c>
      <c r="M5" t="str">
        <f t="shared" si="0"/>
        <v/>
      </c>
      <c r="N5">
        <f t="shared" si="1"/>
        <v>345.6</v>
      </c>
    </row>
    <row r="6" spans="1:18" x14ac:dyDescent="0.35">
      <c r="A6" t="s">
        <v>9</v>
      </c>
      <c r="B6" t="s">
        <v>17</v>
      </c>
      <c r="C6" t="s">
        <v>11</v>
      </c>
      <c r="D6" t="s">
        <v>12</v>
      </c>
      <c r="E6" s="1">
        <v>0.33333333333333331</v>
      </c>
      <c r="F6" t="s">
        <v>13</v>
      </c>
      <c r="G6">
        <v>336</v>
      </c>
      <c r="H6">
        <v>19.2</v>
      </c>
      <c r="I6">
        <v>33.6</v>
      </c>
      <c r="J6">
        <v>11.5</v>
      </c>
      <c r="K6">
        <v>5.8</v>
      </c>
      <c r="L6">
        <v>58</v>
      </c>
      <c r="M6">
        <f t="shared" si="0"/>
        <v>336</v>
      </c>
      <c r="N6" t="str">
        <f t="shared" si="1"/>
        <v/>
      </c>
    </row>
    <row r="7" spans="1:18" x14ac:dyDescent="0.35">
      <c r="A7" t="s">
        <v>9</v>
      </c>
      <c r="B7" t="s">
        <v>17</v>
      </c>
      <c r="C7" t="s">
        <v>14</v>
      </c>
      <c r="D7" t="s">
        <v>12</v>
      </c>
      <c r="E7" s="1">
        <v>0.33333333333333331</v>
      </c>
      <c r="F7" t="s">
        <v>15</v>
      </c>
      <c r="G7">
        <v>345.6</v>
      </c>
      <c r="H7">
        <v>23</v>
      </c>
      <c r="I7">
        <v>28.8</v>
      </c>
      <c r="J7">
        <v>9.6</v>
      </c>
      <c r="K7">
        <v>4.8</v>
      </c>
      <c r="L7">
        <v>62</v>
      </c>
      <c r="M7" t="str">
        <f t="shared" si="0"/>
        <v/>
      </c>
      <c r="N7">
        <f t="shared" si="1"/>
        <v>345.6</v>
      </c>
    </row>
    <row r="8" spans="1:18" x14ac:dyDescent="0.35">
      <c r="A8" t="s">
        <v>9</v>
      </c>
      <c r="B8" t="s">
        <v>18</v>
      </c>
      <c r="C8" t="s">
        <v>11</v>
      </c>
      <c r="D8" t="s">
        <v>12</v>
      </c>
      <c r="E8" s="1">
        <v>0.33333333333333331</v>
      </c>
      <c r="F8" t="s">
        <v>13</v>
      </c>
      <c r="G8">
        <v>336</v>
      </c>
      <c r="H8">
        <v>19.2</v>
      </c>
      <c r="I8">
        <v>33.6</v>
      </c>
      <c r="J8">
        <v>11.5</v>
      </c>
      <c r="K8">
        <v>5.8</v>
      </c>
      <c r="L8">
        <v>54</v>
      </c>
      <c r="M8">
        <f t="shared" si="0"/>
        <v>336</v>
      </c>
      <c r="N8" t="str">
        <f t="shared" si="1"/>
        <v/>
      </c>
    </row>
    <row r="9" spans="1:18" x14ac:dyDescent="0.35">
      <c r="A9" t="s">
        <v>9</v>
      </c>
      <c r="B9" t="s">
        <v>18</v>
      </c>
      <c r="C9" t="s">
        <v>14</v>
      </c>
      <c r="D9" t="s">
        <v>12</v>
      </c>
      <c r="E9" s="1">
        <v>0.33333333333333331</v>
      </c>
      <c r="F9" t="s">
        <v>15</v>
      </c>
      <c r="G9">
        <v>345.6</v>
      </c>
      <c r="H9">
        <v>23</v>
      </c>
      <c r="I9">
        <v>28.8</v>
      </c>
      <c r="J9">
        <v>9.6</v>
      </c>
      <c r="K9">
        <v>4.8</v>
      </c>
      <c r="L9">
        <v>56</v>
      </c>
      <c r="M9" t="str">
        <f t="shared" si="0"/>
        <v/>
      </c>
      <c r="N9">
        <f t="shared" si="1"/>
        <v>345.6</v>
      </c>
    </row>
    <row r="10" spans="1:18" x14ac:dyDescent="0.35">
      <c r="A10" t="s">
        <v>19</v>
      </c>
      <c r="B10" t="s">
        <v>10</v>
      </c>
      <c r="C10" t="s">
        <v>11</v>
      </c>
      <c r="D10" t="s">
        <v>12</v>
      </c>
      <c r="E10" s="1">
        <v>0.33333333333333331</v>
      </c>
      <c r="F10" t="s">
        <v>13</v>
      </c>
      <c r="G10">
        <v>339.5</v>
      </c>
      <c r="H10">
        <v>19.399999999999999</v>
      </c>
      <c r="I10">
        <v>33.9</v>
      </c>
      <c r="J10">
        <v>11.6</v>
      </c>
      <c r="K10">
        <v>5.8</v>
      </c>
      <c r="L10">
        <v>46</v>
      </c>
      <c r="M10">
        <f t="shared" si="0"/>
        <v>339.5</v>
      </c>
      <c r="N10" t="str">
        <f t="shared" si="1"/>
        <v/>
      </c>
    </row>
    <row r="11" spans="1:18" x14ac:dyDescent="0.35">
      <c r="A11" t="s">
        <v>19</v>
      </c>
      <c r="B11" t="s">
        <v>10</v>
      </c>
      <c r="C11" t="s">
        <v>14</v>
      </c>
      <c r="D11" t="s">
        <v>12</v>
      </c>
      <c r="E11" s="1">
        <v>0.33333333333333331</v>
      </c>
      <c r="F11" t="s">
        <v>15</v>
      </c>
      <c r="G11">
        <v>349.2</v>
      </c>
      <c r="H11">
        <v>23.3</v>
      </c>
      <c r="I11">
        <v>29.1</v>
      </c>
      <c r="J11">
        <v>9.6999999999999993</v>
      </c>
      <c r="K11">
        <v>4.8</v>
      </c>
      <c r="L11">
        <v>48</v>
      </c>
      <c r="M11" t="str">
        <f t="shared" si="0"/>
        <v/>
      </c>
      <c r="N11">
        <f t="shared" si="1"/>
        <v>349.2</v>
      </c>
    </row>
    <row r="12" spans="1:18" x14ac:dyDescent="0.35">
      <c r="A12" t="s">
        <v>19</v>
      </c>
      <c r="B12" t="s">
        <v>16</v>
      </c>
      <c r="C12" t="s">
        <v>11</v>
      </c>
      <c r="D12" t="s">
        <v>12</v>
      </c>
      <c r="E12" s="1">
        <v>0.33333333333333331</v>
      </c>
      <c r="F12" t="s">
        <v>13</v>
      </c>
      <c r="G12">
        <v>339.5</v>
      </c>
      <c r="H12">
        <v>19.399999999999999</v>
      </c>
      <c r="I12">
        <v>33.9</v>
      </c>
      <c r="J12">
        <v>11.6</v>
      </c>
      <c r="K12">
        <v>5.8</v>
      </c>
      <c r="L12">
        <v>49</v>
      </c>
      <c r="M12">
        <f t="shared" si="0"/>
        <v>339.5</v>
      </c>
      <c r="N12" t="str">
        <f t="shared" si="1"/>
        <v/>
      </c>
    </row>
    <row r="13" spans="1:18" x14ac:dyDescent="0.35">
      <c r="A13" t="s">
        <v>19</v>
      </c>
      <c r="B13" t="s">
        <v>16</v>
      </c>
      <c r="C13" t="s">
        <v>14</v>
      </c>
      <c r="D13" t="s">
        <v>12</v>
      </c>
      <c r="E13" s="1">
        <v>0.33333333333333331</v>
      </c>
      <c r="F13" t="s">
        <v>15</v>
      </c>
      <c r="G13">
        <v>349.2</v>
      </c>
      <c r="H13">
        <v>23.3</v>
      </c>
      <c r="I13">
        <v>29.1</v>
      </c>
      <c r="J13">
        <v>9.6999999999999993</v>
      </c>
      <c r="K13">
        <v>4.8</v>
      </c>
      <c r="L13">
        <v>53</v>
      </c>
      <c r="M13" t="str">
        <f t="shared" si="0"/>
        <v/>
      </c>
      <c r="N13">
        <f t="shared" si="1"/>
        <v>349.2</v>
      </c>
    </row>
    <row r="14" spans="1:18" x14ac:dyDescent="0.35">
      <c r="A14" t="s">
        <v>19</v>
      </c>
      <c r="B14" t="s">
        <v>17</v>
      </c>
      <c r="C14" t="s">
        <v>11</v>
      </c>
      <c r="D14" t="s">
        <v>12</v>
      </c>
      <c r="E14" s="1">
        <v>0.33333333333333331</v>
      </c>
      <c r="F14" t="s">
        <v>13</v>
      </c>
      <c r="G14">
        <v>339.5</v>
      </c>
      <c r="H14">
        <v>19.399999999999999</v>
      </c>
      <c r="I14">
        <v>33.9</v>
      </c>
      <c r="J14">
        <v>11.6</v>
      </c>
      <c r="K14">
        <v>5.8</v>
      </c>
      <c r="L14">
        <v>56</v>
      </c>
      <c r="M14">
        <f t="shared" si="0"/>
        <v>339.5</v>
      </c>
      <c r="N14" t="str">
        <f t="shared" si="1"/>
        <v/>
      </c>
    </row>
    <row r="15" spans="1:18" x14ac:dyDescent="0.35">
      <c r="A15" t="s">
        <v>19</v>
      </c>
      <c r="B15" t="s">
        <v>17</v>
      </c>
      <c r="C15" t="s">
        <v>14</v>
      </c>
      <c r="D15" t="s">
        <v>12</v>
      </c>
      <c r="E15" s="1">
        <v>0.33333333333333331</v>
      </c>
      <c r="F15" t="s">
        <v>15</v>
      </c>
      <c r="G15">
        <v>349.2</v>
      </c>
      <c r="H15">
        <v>23.3</v>
      </c>
      <c r="I15">
        <v>29.1</v>
      </c>
      <c r="J15">
        <v>9.6999999999999993</v>
      </c>
      <c r="K15">
        <v>4.8</v>
      </c>
      <c r="L15">
        <v>60</v>
      </c>
      <c r="M15" t="str">
        <f t="shared" si="0"/>
        <v/>
      </c>
      <c r="N15">
        <f t="shared" si="1"/>
        <v>349.2</v>
      </c>
    </row>
    <row r="16" spans="1:18" x14ac:dyDescent="0.35">
      <c r="A16" t="s">
        <v>19</v>
      </c>
      <c r="B16" t="s">
        <v>18</v>
      </c>
      <c r="C16" t="s">
        <v>11</v>
      </c>
      <c r="D16" t="s">
        <v>12</v>
      </c>
      <c r="E16" s="1">
        <v>0.33333333333333331</v>
      </c>
      <c r="F16" t="s">
        <v>13</v>
      </c>
      <c r="G16">
        <v>339.5</v>
      </c>
      <c r="H16">
        <v>19.399999999999999</v>
      </c>
      <c r="I16">
        <v>33.9</v>
      </c>
      <c r="J16">
        <v>11.6</v>
      </c>
      <c r="K16">
        <v>5.8</v>
      </c>
      <c r="L16">
        <v>52</v>
      </c>
      <c r="M16">
        <f t="shared" si="0"/>
        <v>339.5</v>
      </c>
      <c r="N16" t="str">
        <f t="shared" si="1"/>
        <v/>
      </c>
    </row>
    <row r="17" spans="1:14" x14ac:dyDescent="0.35">
      <c r="A17" t="s">
        <v>19</v>
      </c>
      <c r="B17" t="s">
        <v>18</v>
      </c>
      <c r="C17" t="s">
        <v>14</v>
      </c>
      <c r="D17" t="s">
        <v>12</v>
      </c>
      <c r="E17" s="1">
        <v>0.33333333333333331</v>
      </c>
      <c r="F17" t="s">
        <v>15</v>
      </c>
      <c r="G17">
        <v>349.2</v>
      </c>
      <c r="H17">
        <v>23.3</v>
      </c>
      <c r="I17">
        <v>29.1</v>
      </c>
      <c r="J17">
        <v>9.6999999999999993</v>
      </c>
      <c r="K17">
        <v>4.8</v>
      </c>
      <c r="L17">
        <v>54</v>
      </c>
      <c r="M17" t="str">
        <f t="shared" si="0"/>
        <v/>
      </c>
      <c r="N17">
        <f t="shared" si="1"/>
        <v>349.2</v>
      </c>
    </row>
    <row r="18" spans="1:14" x14ac:dyDescent="0.35">
      <c r="A18" t="s">
        <v>20</v>
      </c>
      <c r="B18" t="s">
        <v>10</v>
      </c>
      <c r="C18" t="s">
        <v>11</v>
      </c>
      <c r="D18" t="s">
        <v>12</v>
      </c>
      <c r="E18" s="1">
        <v>0.33333333333333331</v>
      </c>
      <c r="F18" t="s">
        <v>13</v>
      </c>
      <c r="G18">
        <v>343</v>
      </c>
      <c r="H18">
        <v>19.600000000000001</v>
      </c>
      <c r="I18">
        <v>34.299999999999997</v>
      </c>
      <c r="J18">
        <v>11.8</v>
      </c>
      <c r="K18">
        <v>5.9</v>
      </c>
      <c r="L18">
        <v>45</v>
      </c>
      <c r="M18">
        <f t="shared" si="0"/>
        <v>343</v>
      </c>
      <c r="N18" t="str">
        <f t="shared" si="1"/>
        <v/>
      </c>
    </row>
    <row r="19" spans="1:14" x14ac:dyDescent="0.35">
      <c r="A19" t="s">
        <v>20</v>
      </c>
      <c r="B19" t="s">
        <v>10</v>
      </c>
      <c r="C19" t="s">
        <v>14</v>
      </c>
      <c r="D19" t="s">
        <v>12</v>
      </c>
      <c r="E19" s="1">
        <v>0.33333333333333331</v>
      </c>
      <c r="F19" t="s">
        <v>15</v>
      </c>
      <c r="G19">
        <v>352.8</v>
      </c>
      <c r="H19">
        <v>23.5</v>
      </c>
      <c r="I19">
        <v>29.4</v>
      </c>
      <c r="J19">
        <v>9.8000000000000007</v>
      </c>
      <c r="K19">
        <v>4.9000000000000004</v>
      </c>
      <c r="L19">
        <v>46</v>
      </c>
      <c r="M19" t="str">
        <f t="shared" si="0"/>
        <v/>
      </c>
      <c r="N19">
        <f t="shared" si="1"/>
        <v>352.8</v>
      </c>
    </row>
    <row r="20" spans="1:14" x14ac:dyDescent="0.35">
      <c r="A20" t="s">
        <v>20</v>
      </c>
      <c r="B20" t="s">
        <v>16</v>
      </c>
      <c r="C20" t="s">
        <v>11</v>
      </c>
      <c r="D20" t="s">
        <v>12</v>
      </c>
      <c r="E20" s="1">
        <v>0.33333333333333331</v>
      </c>
      <c r="F20" t="s">
        <v>13</v>
      </c>
      <c r="G20">
        <v>343</v>
      </c>
      <c r="H20">
        <v>19.600000000000001</v>
      </c>
      <c r="I20">
        <v>34.299999999999997</v>
      </c>
      <c r="J20">
        <v>11.8</v>
      </c>
      <c r="K20">
        <v>5.9</v>
      </c>
      <c r="L20">
        <v>43</v>
      </c>
      <c r="M20">
        <f t="shared" si="0"/>
        <v>343</v>
      </c>
      <c r="N20" t="str">
        <f t="shared" si="1"/>
        <v/>
      </c>
    </row>
    <row r="21" spans="1:14" x14ac:dyDescent="0.35">
      <c r="A21" t="s">
        <v>20</v>
      </c>
      <c r="B21" t="s">
        <v>16</v>
      </c>
      <c r="C21" t="s">
        <v>14</v>
      </c>
      <c r="D21" t="s">
        <v>12</v>
      </c>
      <c r="E21" s="1">
        <v>0.33333333333333331</v>
      </c>
      <c r="F21" t="s">
        <v>15</v>
      </c>
      <c r="G21">
        <v>352.8</v>
      </c>
      <c r="H21">
        <v>23.5</v>
      </c>
      <c r="I21">
        <v>29.4</v>
      </c>
      <c r="J21">
        <v>9.8000000000000007</v>
      </c>
      <c r="K21">
        <v>4.9000000000000004</v>
      </c>
      <c r="L21">
        <v>54</v>
      </c>
      <c r="M21" t="str">
        <f t="shared" si="0"/>
        <v/>
      </c>
      <c r="N21">
        <f t="shared" si="1"/>
        <v>352.8</v>
      </c>
    </row>
    <row r="22" spans="1:14" x14ac:dyDescent="0.35">
      <c r="A22" t="s">
        <v>20</v>
      </c>
      <c r="B22" t="s">
        <v>17</v>
      </c>
      <c r="C22" t="s">
        <v>11</v>
      </c>
      <c r="D22" t="s">
        <v>12</v>
      </c>
      <c r="E22" s="1">
        <v>0.33333333333333331</v>
      </c>
      <c r="F22" t="s">
        <v>13</v>
      </c>
      <c r="G22">
        <v>343</v>
      </c>
      <c r="H22">
        <v>19.600000000000001</v>
      </c>
      <c r="I22">
        <v>34.299999999999997</v>
      </c>
      <c r="J22">
        <v>11.8</v>
      </c>
      <c r="K22">
        <v>5.9</v>
      </c>
      <c r="L22">
        <v>56</v>
      </c>
      <c r="M22">
        <f t="shared" si="0"/>
        <v>343</v>
      </c>
      <c r="N22" t="str">
        <f t="shared" si="1"/>
        <v/>
      </c>
    </row>
    <row r="23" spans="1:14" x14ac:dyDescent="0.35">
      <c r="A23" t="s">
        <v>20</v>
      </c>
      <c r="B23" t="s">
        <v>17</v>
      </c>
      <c r="C23" t="s">
        <v>14</v>
      </c>
      <c r="D23" t="s">
        <v>12</v>
      </c>
      <c r="E23" s="1">
        <v>0.33333333333333331</v>
      </c>
      <c r="F23" t="s">
        <v>15</v>
      </c>
      <c r="G23">
        <v>352.8</v>
      </c>
      <c r="H23">
        <v>23.5</v>
      </c>
      <c r="I23">
        <v>29.4</v>
      </c>
      <c r="J23">
        <v>9.8000000000000007</v>
      </c>
      <c r="K23">
        <v>4.9000000000000004</v>
      </c>
      <c r="L23">
        <v>61</v>
      </c>
      <c r="M23" t="str">
        <f t="shared" si="0"/>
        <v/>
      </c>
      <c r="N23">
        <f t="shared" si="1"/>
        <v>352.8</v>
      </c>
    </row>
    <row r="24" spans="1:14" x14ac:dyDescent="0.35">
      <c r="A24" t="s">
        <v>20</v>
      </c>
      <c r="B24" t="s">
        <v>18</v>
      </c>
      <c r="C24" t="s">
        <v>11</v>
      </c>
      <c r="D24" t="s">
        <v>12</v>
      </c>
      <c r="E24" s="1">
        <v>0.33333333333333331</v>
      </c>
      <c r="F24" t="s">
        <v>13</v>
      </c>
      <c r="G24">
        <v>343</v>
      </c>
      <c r="H24">
        <v>19.600000000000001</v>
      </c>
      <c r="I24">
        <v>34.299999999999997</v>
      </c>
      <c r="J24">
        <v>11.8</v>
      </c>
      <c r="K24">
        <v>5.9</v>
      </c>
      <c r="L24">
        <v>52</v>
      </c>
      <c r="M24">
        <f t="shared" si="0"/>
        <v>343</v>
      </c>
      <c r="N24" t="str">
        <f t="shared" si="1"/>
        <v/>
      </c>
    </row>
    <row r="25" spans="1:14" x14ac:dyDescent="0.35">
      <c r="A25" t="s">
        <v>20</v>
      </c>
      <c r="B25" t="s">
        <v>18</v>
      </c>
      <c r="C25" t="s">
        <v>14</v>
      </c>
      <c r="D25" t="s">
        <v>12</v>
      </c>
      <c r="E25" s="1">
        <v>0.33333333333333331</v>
      </c>
      <c r="F25" t="s">
        <v>15</v>
      </c>
      <c r="G25">
        <v>352.8</v>
      </c>
      <c r="H25">
        <v>23.5</v>
      </c>
      <c r="I25">
        <v>29.4</v>
      </c>
      <c r="J25">
        <v>9.8000000000000007</v>
      </c>
      <c r="K25">
        <v>4.9000000000000004</v>
      </c>
      <c r="L25">
        <v>54</v>
      </c>
      <c r="M25" t="str">
        <f t="shared" si="0"/>
        <v/>
      </c>
      <c r="N25">
        <f t="shared" si="1"/>
        <v>352.8</v>
      </c>
    </row>
    <row r="26" spans="1:14" x14ac:dyDescent="0.35">
      <c r="A26" t="s">
        <v>21</v>
      </c>
      <c r="B26" t="s">
        <v>10</v>
      </c>
      <c r="C26" t="s">
        <v>11</v>
      </c>
      <c r="D26" t="s">
        <v>12</v>
      </c>
      <c r="E26" s="1">
        <v>0.33333333333333331</v>
      </c>
      <c r="F26" t="s">
        <v>13</v>
      </c>
      <c r="G26">
        <v>346.5</v>
      </c>
      <c r="H26">
        <v>19.8</v>
      </c>
      <c r="I26">
        <v>34.6</v>
      </c>
      <c r="J26">
        <v>11.9</v>
      </c>
      <c r="K26">
        <v>5.9</v>
      </c>
      <c r="L26">
        <v>45</v>
      </c>
      <c r="M26">
        <f t="shared" si="0"/>
        <v>346.5</v>
      </c>
      <c r="N26" t="str">
        <f t="shared" si="1"/>
        <v/>
      </c>
    </row>
    <row r="27" spans="1:14" x14ac:dyDescent="0.35">
      <c r="A27" t="s">
        <v>21</v>
      </c>
      <c r="B27" t="s">
        <v>10</v>
      </c>
      <c r="C27" t="s">
        <v>14</v>
      </c>
      <c r="D27" t="s">
        <v>12</v>
      </c>
      <c r="E27" s="1">
        <v>0.33333333333333331</v>
      </c>
      <c r="F27" t="s">
        <v>15</v>
      </c>
      <c r="G27">
        <v>356.4</v>
      </c>
      <c r="H27">
        <v>23.8</v>
      </c>
      <c r="I27">
        <v>29.7</v>
      </c>
      <c r="J27">
        <v>9.9</v>
      </c>
      <c r="K27">
        <v>5</v>
      </c>
      <c r="L27">
        <v>48</v>
      </c>
      <c r="M27" t="str">
        <f t="shared" si="0"/>
        <v/>
      </c>
      <c r="N27">
        <f t="shared" si="1"/>
        <v>356.4</v>
      </c>
    </row>
    <row r="28" spans="1:14" x14ac:dyDescent="0.35">
      <c r="A28" t="s">
        <v>21</v>
      </c>
      <c r="B28" t="s">
        <v>16</v>
      </c>
      <c r="C28" t="s">
        <v>11</v>
      </c>
      <c r="D28" t="s">
        <v>12</v>
      </c>
      <c r="E28" s="1">
        <v>0.33333333333333331</v>
      </c>
      <c r="F28" t="s">
        <v>13</v>
      </c>
      <c r="G28">
        <v>346.5</v>
      </c>
      <c r="H28">
        <v>19.8</v>
      </c>
      <c r="I28">
        <v>34.6</v>
      </c>
      <c r="J28">
        <v>11.9</v>
      </c>
      <c r="K28">
        <v>5.9</v>
      </c>
      <c r="L28">
        <v>47</v>
      </c>
      <c r="M28">
        <f t="shared" si="0"/>
        <v>346.5</v>
      </c>
      <c r="N28" t="str">
        <f t="shared" si="1"/>
        <v/>
      </c>
    </row>
    <row r="29" spans="1:14" x14ac:dyDescent="0.35">
      <c r="A29" t="s">
        <v>21</v>
      </c>
      <c r="B29" t="s">
        <v>16</v>
      </c>
      <c r="C29" t="s">
        <v>14</v>
      </c>
      <c r="D29" t="s">
        <v>12</v>
      </c>
      <c r="E29" s="1">
        <v>0.33333333333333331</v>
      </c>
      <c r="F29" t="s">
        <v>15</v>
      </c>
      <c r="G29">
        <v>356.4</v>
      </c>
      <c r="H29">
        <v>23.8</v>
      </c>
      <c r="I29">
        <v>29.7</v>
      </c>
      <c r="J29">
        <v>9.9</v>
      </c>
      <c r="K29">
        <v>5</v>
      </c>
      <c r="L29">
        <v>51</v>
      </c>
      <c r="M29" t="str">
        <f t="shared" si="0"/>
        <v/>
      </c>
      <c r="N29">
        <f t="shared" si="1"/>
        <v>356.4</v>
      </c>
    </row>
    <row r="30" spans="1:14" x14ac:dyDescent="0.35">
      <c r="A30" t="s">
        <v>21</v>
      </c>
      <c r="B30" t="s">
        <v>17</v>
      </c>
      <c r="C30" t="s">
        <v>11</v>
      </c>
      <c r="D30" t="s">
        <v>12</v>
      </c>
      <c r="E30" s="1">
        <v>0.33333333333333331</v>
      </c>
      <c r="F30" t="s">
        <v>13</v>
      </c>
      <c r="G30">
        <v>346.5</v>
      </c>
      <c r="H30">
        <v>19.8</v>
      </c>
      <c r="I30">
        <v>34.6</v>
      </c>
      <c r="J30">
        <v>11.9</v>
      </c>
      <c r="K30">
        <v>5.9</v>
      </c>
      <c r="L30">
        <v>58</v>
      </c>
      <c r="M30">
        <f t="shared" si="0"/>
        <v>346.5</v>
      </c>
      <c r="N30" t="str">
        <f t="shared" si="1"/>
        <v/>
      </c>
    </row>
    <row r="31" spans="1:14" x14ac:dyDescent="0.35">
      <c r="A31" t="s">
        <v>21</v>
      </c>
      <c r="B31" t="s">
        <v>17</v>
      </c>
      <c r="C31" t="s">
        <v>14</v>
      </c>
      <c r="D31" t="s">
        <v>12</v>
      </c>
      <c r="E31" s="1">
        <v>0.33333333333333331</v>
      </c>
      <c r="F31" t="s">
        <v>15</v>
      </c>
      <c r="G31">
        <v>356.4</v>
      </c>
      <c r="H31">
        <v>23.8</v>
      </c>
      <c r="I31">
        <v>29.7</v>
      </c>
      <c r="J31">
        <v>9.9</v>
      </c>
      <c r="K31">
        <v>5</v>
      </c>
      <c r="L31">
        <v>63</v>
      </c>
      <c r="M31" t="str">
        <f t="shared" si="0"/>
        <v/>
      </c>
      <c r="N31">
        <f t="shared" si="1"/>
        <v>356.4</v>
      </c>
    </row>
    <row r="32" spans="1:14" x14ac:dyDescent="0.35">
      <c r="A32" t="s">
        <v>21</v>
      </c>
      <c r="B32" t="s">
        <v>18</v>
      </c>
      <c r="C32" t="s">
        <v>11</v>
      </c>
      <c r="D32" t="s">
        <v>12</v>
      </c>
      <c r="E32" s="1">
        <v>0.33333333333333331</v>
      </c>
      <c r="F32" t="s">
        <v>13</v>
      </c>
      <c r="G32">
        <v>346.5</v>
      </c>
      <c r="H32">
        <v>19.8</v>
      </c>
      <c r="I32">
        <v>34.6</v>
      </c>
      <c r="J32">
        <v>11.9</v>
      </c>
      <c r="K32">
        <v>5.9</v>
      </c>
      <c r="L32">
        <v>54</v>
      </c>
      <c r="M32">
        <f t="shared" si="0"/>
        <v>346.5</v>
      </c>
      <c r="N32" t="str">
        <f t="shared" si="1"/>
        <v/>
      </c>
    </row>
    <row r="33" spans="1:14" x14ac:dyDescent="0.35">
      <c r="A33" t="s">
        <v>21</v>
      </c>
      <c r="B33" t="s">
        <v>18</v>
      </c>
      <c r="C33" t="s">
        <v>14</v>
      </c>
      <c r="D33" t="s">
        <v>12</v>
      </c>
      <c r="E33" s="1">
        <v>0.33333333333333331</v>
      </c>
      <c r="F33" t="s">
        <v>15</v>
      </c>
      <c r="G33">
        <v>356.4</v>
      </c>
      <c r="H33">
        <v>23.8</v>
      </c>
      <c r="I33">
        <v>29.7</v>
      </c>
      <c r="J33">
        <v>9.9</v>
      </c>
      <c r="K33">
        <v>5</v>
      </c>
      <c r="L33">
        <v>56</v>
      </c>
      <c r="M33" t="str">
        <f t="shared" si="0"/>
        <v/>
      </c>
      <c r="N33">
        <f t="shared" si="1"/>
        <v>356.4</v>
      </c>
    </row>
    <row r="34" spans="1:14" x14ac:dyDescent="0.35">
      <c r="A34" t="s">
        <v>22</v>
      </c>
      <c r="B34" t="s">
        <v>10</v>
      </c>
      <c r="C34" t="s">
        <v>11</v>
      </c>
      <c r="D34" t="s">
        <v>12</v>
      </c>
      <c r="E34" s="1">
        <v>0.33333333333333331</v>
      </c>
      <c r="F34" t="s">
        <v>13</v>
      </c>
      <c r="G34">
        <v>350</v>
      </c>
      <c r="H34">
        <v>20</v>
      </c>
      <c r="I34">
        <v>35</v>
      </c>
      <c r="J34">
        <v>12</v>
      </c>
      <c r="K34">
        <v>6</v>
      </c>
      <c r="L34">
        <v>44</v>
      </c>
      <c r="M34">
        <f t="shared" si="0"/>
        <v>350</v>
      </c>
      <c r="N34" t="str">
        <f t="shared" si="1"/>
        <v/>
      </c>
    </row>
    <row r="35" spans="1:14" x14ac:dyDescent="0.35">
      <c r="A35" t="s">
        <v>22</v>
      </c>
      <c r="B35" t="s">
        <v>10</v>
      </c>
      <c r="C35" t="s">
        <v>14</v>
      </c>
      <c r="D35" t="s">
        <v>12</v>
      </c>
      <c r="E35" s="1">
        <v>0.33333333333333331</v>
      </c>
      <c r="F35" t="s">
        <v>15</v>
      </c>
      <c r="G35">
        <v>360</v>
      </c>
      <c r="H35">
        <v>24</v>
      </c>
      <c r="I35">
        <v>30</v>
      </c>
      <c r="J35">
        <v>10</v>
      </c>
      <c r="K35">
        <v>5</v>
      </c>
      <c r="L35">
        <v>46</v>
      </c>
      <c r="M35" t="str">
        <f t="shared" si="0"/>
        <v/>
      </c>
      <c r="N35">
        <f t="shared" si="1"/>
        <v>360</v>
      </c>
    </row>
    <row r="36" spans="1:14" x14ac:dyDescent="0.35">
      <c r="A36" t="s">
        <v>22</v>
      </c>
      <c r="B36" t="s">
        <v>16</v>
      </c>
      <c r="C36" t="s">
        <v>11</v>
      </c>
      <c r="D36" t="s">
        <v>12</v>
      </c>
      <c r="E36" s="1">
        <v>0.33333333333333331</v>
      </c>
      <c r="F36" t="s">
        <v>13</v>
      </c>
      <c r="G36">
        <v>350</v>
      </c>
      <c r="H36">
        <v>20</v>
      </c>
      <c r="I36">
        <v>35</v>
      </c>
      <c r="J36">
        <v>12</v>
      </c>
      <c r="K36">
        <v>6</v>
      </c>
      <c r="L36">
        <v>47</v>
      </c>
      <c r="M36">
        <f t="shared" si="0"/>
        <v>350</v>
      </c>
      <c r="N36" t="str">
        <f t="shared" si="1"/>
        <v/>
      </c>
    </row>
    <row r="37" spans="1:14" x14ac:dyDescent="0.35">
      <c r="A37" t="s">
        <v>22</v>
      </c>
      <c r="B37" t="s">
        <v>16</v>
      </c>
      <c r="C37" t="s">
        <v>14</v>
      </c>
      <c r="D37" t="s">
        <v>12</v>
      </c>
      <c r="E37" s="1">
        <v>0.33333333333333331</v>
      </c>
      <c r="F37" t="s">
        <v>15</v>
      </c>
      <c r="G37">
        <v>360</v>
      </c>
      <c r="H37">
        <v>24</v>
      </c>
      <c r="I37">
        <v>30</v>
      </c>
      <c r="J37">
        <v>10</v>
      </c>
      <c r="K37">
        <v>5</v>
      </c>
      <c r="L37">
        <v>53</v>
      </c>
      <c r="M37" t="str">
        <f t="shared" si="0"/>
        <v/>
      </c>
      <c r="N37">
        <f t="shared" si="1"/>
        <v>360</v>
      </c>
    </row>
    <row r="38" spans="1:14" x14ac:dyDescent="0.35">
      <c r="A38" t="s">
        <v>22</v>
      </c>
      <c r="B38" t="s">
        <v>17</v>
      </c>
      <c r="C38" t="s">
        <v>11</v>
      </c>
      <c r="D38" t="s">
        <v>12</v>
      </c>
      <c r="E38" s="1">
        <v>0.33333333333333331</v>
      </c>
      <c r="F38" t="s">
        <v>13</v>
      </c>
      <c r="G38">
        <v>350</v>
      </c>
      <c r="H38">
        <v>20</v>
      </c>
      <c r="I38">
        <v>35</v>
      </c>
      <c r="J38">
        <v>12</v>
      </c>
      <c r="K38">
        <v>6</v>
      </c>
      <c r="L38">
        <v>58</v>
      </c>
      <c r="M38">
        <f t="shared" si="0"/>
        <v>350</v>
      </c>
      <c r="N38" t="str">
        <f t="shared" si="1"/>
        <v/>
      </c>
    </row>
    <row r="39" spans="1:14" x14ac:dyDescent="0.35">
      <c r="A39" t="s">
        <v>22</v>
      </c>
      <c r="B39" t="s">
        <v>17</v>
      </c>
      <c r="C39" t="s">
        <v>14</v>
      </c>
      <c r="D39" t="s">
        <v>12</v>
      </c>
      <c r="E39" s="1">
        <v>0.33333333333333331</v>
      </c>
      <c r="F39" t="s">
        <v>15</v>
      </c>
      <c r="G39">
        <v>360</v>
      </c>
      <c r="H39">
        <v>24</v>
      </c>
      <c r="I39">
        <v>30</v>
      </c>
      <c r="J39">
        <v>10</v>
      </c>
      <c r="K39">
        <v>5</v>
      </c>
      <c r="L39">
        <v>62</v>
      </c>
      <c r="M39" t="str">
        <f t="shared" si="0"/>
        <v/>
      </c>
      <c r="N39">
        <f t="shared" si="1"/>
        <v>360</v>
      </c>
    </row>
    <row r="40" spans="1:14" x14ac:dyDescent="0.35">
      <c r="A40" t="s">
        <v>22</v>
      </c>
      <c r="B40" t="s">
        <v>18</v>
      </c>
      <c r="C40" t="s">
        <v>11</v>
      </c>
      <c r="D40" t="s">
        <v>12</v>
      </c>
      <c r="E40" s="1">
        <v>0.33333333333333331</v>
      </c>
      <c r="F40" t="s">
        <v>13</v>
      </c>
      <c r="G40">
        <v>350</v>
      </c>
      <c r="H40">
        <v>20</v>
      </c>
      <c r="I40">
        <v>35</v>
      </c>
      <c r="J40">
        <v>12</v>
      </c>
      <c r="K40">
        <v>6</v>
      </c>
      <c r="L40">
        <v>53</v>
      </c>
      <c r="M40">
        <f t="shared" si="0"/>
        <v>350</v>
      </c>
      <c r="N40" t="str">
        <f t="shared" si="1"/>
        <v/>
      </c>
    </row>
    <row r="41" spans="1:14" x14ac:dyDescent="0.35">
      <c r="A41" t="s">
        <v>22</v>
      </c>
      <c r="B41" t="s">
        <v>18</v>
      </c>
      <c r="C41" t="s">
        <v>14</v>
      </c>
      <c r="D41" t="s">
        <v>12</v>
      </c>
      <c r="E41" s="1">
        <v>0.33333333333333331</v>
      </c>
      <c r="F41" t="s">
        <v>15</v>
      </c>
      <c r="G41">
        <v>360</v>
      </c>
      <c r="H41">
        <v>24</v>
      </c>
      <c r="I41">
        <v>30</v>
      </c>
      <c r="J41">
        <v>10</v>
      </c>
      <c r="K41">
        <v>5</v>
      </c>
      <c r="L41">
        <v>57</v>
      </c>
      <c r="M41" t="str">
        <f t="shared" si="0"/>
        <v/>
      </c>
      <c r="N41">
        <f t="shared" si="1"/>
        <v>360</v>
      </c>
    </row>
    <row r="42" spans="1:14" x14ac:dyDescent="0.35">
      <c r="A42" t="s">
        <v>23</v>
      </c>
      <c r="B42" t="s">
        <v>10</v>
      </c>
      <c r="C42" t="s">
        <v>11</v>
      </c>
      <c r="D42" t="s">
        <v>12</v>
      </c>
      <c r="E42" s="1">
        <v>0.33333333333333331</v>
      </c>
      <c r="F42" t="s">
        <v>13</v>
      </c>
      <c r="G42">
        <v>353.5</v>
      </c>
      <c r="H42">
        <v>20.2</v>
      </c>
      <c r="I42">
        <v>35.4</v>
      </c>
      <c r="J42">
        <v>12.1</v>
      </c>
      <c r="K42">
        <v>6.1</v>
      </c>
      <c r="L42">
        <v>49</v>
      </c>
      <c r="M42">
        <f t="shared" si="0"/>
        <v>353.5</v>
      </c>
      <c r="N42" t="str">
        <f t="shared" si="1"/>
        <v/>
      </c>
    </row>
    <row r="43" spans="1:14" x14ac:dyDescent="0.35">
      <c r="A43" t="s">
        <v>23</v>
      </c>
      <c r="B43" t="s">
        <v>10</v>
      </c>
      <c r="C43" t="s">
        <v>14</v>
      </c>
      <c r="D43" t="s">
        <v>12</v>
      </c>
      <c r="E43" s="1">
        <v>0.33333333333333331</v>
      </c>
      <c r="F43" t="s">
        <v>15</v>
      </c>
      <c r="G43">
        <v>363.6</v>
      </c>
      <c r="H43">
        <v>24.2</v>
      </c>
      <c r="I43">
        <v>30.3</v>
      </c>
      <c r="J43">
        <v>10.1</v>
      </c>
      <c r="K43">
        <v>5</v>
      </c>
      <c r="L43">
        <v>48</v>
      </c>
      <c r="M43" t="str">
        <f t="shared" si="0"/>
        <v/>
      </c>
      <c r="N43">
        <f t="shared" si="1"/>
        <v>363.6</v>
      </c>
    </row>
    <row r="44" spans="1:14" x14ac:dyDescent="0.35">
      <c r="A44" t="s">
        <v>23</v>
      </c>
      <c r="B44" t="s">
        <v>16</v>
      </c>
      <c r="C44" t="s">
        <v>11</v>
      </c>
      <c r="D44" t="s">
        <v>12</v>
      </c>
      <c r="E44" s="1">
        <v>0.33333333333333331</v>
      </c>
      <c r="F44" t="s">
        <v>13</v>
      </c>
      <c r="G44">
        <v>353.5</v>
      </c>
      <c r="H44">
        <v>20.2</v>
      </c>
      <c r="I44">
        <v>35.4</v>
      </c>
      <c r="J44">
        <v>12.1</v>
      </c>
      <c r="K44">
        <v>6.1</v>
      </c>
      <c r="L44">
        <v>47</v>
      </c>
      <c r="M44">
        <f t="shared" si="0"/>
        <v>353.5</v>
      </c>
      <c r="N44" t="str">
        <f t="shared" si="1"/>
        <v/>
      </c>
    </row>
    <row r="45" spans="1:14" x14ac:dyDescent="0.35">
      <c r="A45" t="s">
        <v>23</v>
      </c>
      <c r="B45" t="s">
        <v>16</v>
      </c>
      <c r="C45" t="s">
        <v>14</v>
      </c>
      <c r="D45" t="s">
        <v>12</v>
      </c>
      <c r="E45" s="1">
        <v>0.33333333333333331</v>
      </c>
      <c r="F45" t="s">
        <v>15</v>
      </c>
      <c r="G45">
        <v>363.6</v>
      </c>
      <c r="H45">
        <v>24.2</v>
      </c>
      <c r="I45">
        <v>30.3</v>
      </c>
      <c r="J45">
        <v>10.1</v>
      </c>
      <c r="K45">
        <v>5</v>
      </c>
      <c r="L45">
        <v>53</v>
      </c>
      <c r="M45" t="str">
        <f t="shared" si="0"/>
        <v/>
      </c>
      <c r="N45">
        <f t="shared" si="1"/>
        <v>363.6</v>
      </c>
    </row>
    <row r="46" spans="1:14" x14ac:dyDescent="0.35">
      <c r="A46" t="s">
        <v>23</v>
      </c>
      <c r="B46" t="s">
        <v>17</v>
      </c>
      <c r="C46" t="s">
        <v>11</v>
      </c>
      <c r="D46" t="s">
        <v>12</v>
      </c>
      <c r="E46" s="1">
        <v>0.33333333333333331</v>
      </c>
      <c r="F46" t="s">
        <v>13</v>
      </c>
      <c r="G46">
        <v>353.5</v>
      </c>
      <c r="H46">
        <v>20.2</v>
      </c>
      <c r="I46">
        <v>35.4</v>
      </c>
      <c r="J46">
        <v>12.1</v>
      </c>
      <c r="K46">
        <v>6.1</v>
      </c>
      <c r="L46">
        <v>56</v>
      </c>
      <c r="M46">
        <f t="shared" si="0"/>
        <v>353.5</v>
      </c>
      <c r="N46" t="str">
        <f t="shared" si="1"/>
        <v/>
      </c>
    </row>
    <row r="47" spans="1:14" x14ac:dyDescent="0.35">
      <c r="A47" t="s">
        <v>23</v>
      </c>
      <c r="B47" t="s">
        <v>17</v>
      </c>
      <c r="C47" t="s">
        <v>14</v>
      </c>
      <c r="D47" t="s">
        <v>12</v>
      </c>
      <c r="E47" s="1">
        <v>0.33333333333333331</v>
      </c>
      <c r="F47" t="s">
        <v>15</v>
      </c>
      <c r="G47">
        <v>363.6</v>
      </c>
      <c r="H47">
        <v>24.2</v>
      </c>
      <c r="I47">
        <v>30.3</v>
      </c>
      <c r="J47">
        <v>10.1</v>
      </c>
      <c r="K47">
        <v>5</v>
      </c>
      <c r="L47">
        <v>63</v>
      </c>
      <c r="M47" t="str">
        <f t="shared" si="0"/>
        <v/>
      </c>
      <c r="N47">
        <f t="shared" si="1"/>
        <v>363.6</v>
      </c>
    </row>
    <row r="48" spans="1:14" x14ac:dyDescent="0.35">
      <c r="A48" t="s">
        <v>23</v>
      </c>
      <c r="B48" t="s">
        <v>18</v>
      </c>
      <c r="C48" t="s">
        <v>11</v>
      </c>
      <c r="D48" t="s">
        <v>12</v>
      </c>
      <c r="E48" s="1">
        <v>0.33333333333333331</v>
      </c>
      <c r="F48" t="s">
        <v>13</v>
      </c>
      <c r="G48">
        <v>353.5</v>
      </c>
      <c r="H48">
        <v>20.2</v>
      </c>
      <c r="I48">
        <v>35.4</v>
      </c>
      <c r="J48">
        <v>12.1</v>
      </c>
      <c r="K48">
        <v>6.1</v>
      </c>
      <c r="L48">
        <v>54</v>
      </c>
      <c r="M48">
        <f t="shared" si="0"/>
        <v>353.5</v>
      </c>
      <c r="N48" t="str">
        <f t="shared" si="1"/>
        <v/>
      </c>
    </row>
    <row r="49" spans="1:14" x14ac:dyDescent="0.35">
      <c r="A49" t="s">
        <v>23</v>
      </c>
      <c r="B49" t="s">
        <v>18</v>
      </c>
      <c r="C49" t="s">
        <v>14</v>
      </c>
      <c r="D49" t="s">
        <v>12</v>
      </c>
      <c r="E49" s="1">
        <v>0.33333333333333331</v>
      </c>
      <c r="F49" t="s">
        <v>15</v>
      </c>
      <c r="G49">
        <v>363.6</v>
      </c>
      <c r="H49">
        <v>24.2</v>
      </c>
      <c r="I49">
        <v>30.3</v>
      </c>
      <c r="J49">
        <v>10.1</v>
      </c>
      <c r="K49">
        <v>5</v>
      </c>
      <c r="L49">
        <v>58</v>
      </c>
      <c r="M49" t="str">
        <f t="shared" si="0"/>
        <v/>
      </c>
      <c r="N49">
        <f t="shared" si="1"/>
        <v>363.6</v>
      </c>
    </row>
    <row r="50" spans="1:14" x14ac:dyDescent="0.35">
      <c r="A50" t="s">
        <v>24</v>
      </c>
      <c r="B50" t="s">
        <v>10</v>
      </c>
      <c r="C50" t="s">
        <v>11</v>
      </c>
      <c r="D50" t="s">
        <v>12</v>
      </c>
      <c r="E50" s="1">
        <v>0.33333333333333331</v>
      </c>
      <c r="F50" t="s">
        <v>13</v>
      </c>
      <c r="G50">
        <v>357</v>
      </c>
      <c r="H50">
        <v>20.399999999999999</v>
      </c>
      <c r="I50">
        <v>35.700000000000003</v>
      </c>
      <c r="J50">
        <v>12.2</v>
      </c>
      <c r="K50">
        <v>6.1</v>
      </c>
      <c r="L50">
        <v>40</v>
      </c>
      <c r="M50">
        <f t="shared" si="0"/>
        <v>357</v>
      </c>
      <c r="N50" t="str">
        <f t="shared" si="1"/>
        <v/>
      </c>
    </row>
    <row r="51" spans="1:14" x14ac:dyDescent="0.35">
      <c r="A51" t="s">
        <v>24</v>
      </c>
      <c r="B51" t="s">
        <v>10</v>
      </c>
      <c r="C51" t="s">
        <v>14</v>
      </c>
      <c r="D51" t="s">
        <v>12</v>
      </c>
      <c r="E51" s="1">
        <v>0.33333333333333331</v>
      </c>
      <c r="F51" t="s">
        <v>15</v>
      </c>
      <c r="G51">
        <v>367.2</v>
      </c>
      <c r="H51">
        <v>24.5</v>
      </c>
      <c r="I51">
        <v>30.6</v>
      </c>
      <c r="J51">
        <v>10.199999999999999</v>
      </c>
      <c r="K51">
        <v>5.0999999999999996</v>
      </c>
      <c r="L51">
        <v>45</v>
      </c>
      <c r="M51" t="str">
        <f t="shared" si="0"/>
        <v/>
      </c>
      <c r="N51">
        <f t="shared" si="1"/>
        <v>367.2</v>
      </c>
    </row>
    <row r="52" spans="1:14" x14ac:dyDescent="0.35">
      <c r="A52" t="s">
        <v>24</v>
      </c>
      <c r="B52" t="s">
        <v>16</v>
      </c>
      <c r="C52" t="s">
        <v>11</v>
      </c>
      <c r="D52" t="s">
        <v>12</v>
      </c>
      <c r="E52" s="1">
        <v>0.33333333333333331</v>
      </c>
      <c r="F52" t="s">
        <v>13</v>
      </c>
      <c r="G52">
        <v>357</v>
      </c>
      <c r="H52">
        <v>20.399999999999999</v>
      </c>
      <c r="I52">
        <v>35.700000000000003</v>
      </c>
      <c r="J52">
        <v>12.2</v>
      </c>
      <c r="K52">
        <v>6.1</v>
      </c>
      <c r="L52">
        <v>47</v>
      </c>
      <c r="M52">
        <f t="shared" si="0"/>
        <v>357</v>
      </c>
      <c r="N52" t="str">
        <f t="shared" si="1"/>
        <v/>
      </c>
    </row>
    <row r="53" spans="1:14" x14ac:dyDescent="0.35">
      <c r="A53" t="s">
        <v>24</v>
      </c>
      <c r="B53" t="s">
        <v>16</v>
      </c>
      <c r="C53" t="s">
        <v>14</v>
      </c>
      <c r="D53" t="s">
        <v>12</v>
      </c>
      <c r="E53" s="1">
        <v>0.33333333333333331</v>
      </c>
      <c r="F53" t="s">
        <v>15</v>
      </c>
      <c r="G53">
        <v>367.2</v>
      </c>
      <c r="H53">
        <v>24.5</v>
      </c>
      <c r="I53">
        <v>30.6</v>
      </c>
      <c r="J53">
        <v>10.199999999999999</v>
      </c>
      <c r="K53">
        <v>5.0999999999999996</v>
      </c>
      <c r="L53">
        <v>50</v>
      </c>
      <c r="M53" t="str">
        <f t="shared" si="0"/>
        <v/>
      </c>
      <c r="N53">
        <f t="shared" si="1"/>
        <v>367.2</v>
      </c>
    </row>
    <row r="54" spans="1:14" x14ac:dyDescent="0.35">
      <c r="A54" t="s">
        <v>24</v>
      </c>
      <c r="B54" t="s">
        <v>17</v>
      </c>
      <c r="C54" t="s">
        <v>11</v>
      </c>
      <c r="D54" t="s">
        <v>12</v>
      </c>
      <c r="E54" s="1">
        <v>0.33333333333333331</v>
      </c>
      <c r="F54" t="s">
        <v>13</v>
      </c>
      <c r="G54">
        <v>357</v>
      </c>
      <c r="H54">
        <v>20.399999999999999</v>
      </c>
      <c r="I54">
        <v>35.700000000000003</v>
      </c>
      <c r="J54">
        <v>12.2</v>
      </c>
      <c r="K54">
        <v>6.1</v>
      </c>
      <c r="L54">
        <v>55</v>
      </c>
      <c r="M54">
        <f t="shared" si="0"/>
        <v>357</v>
      </c>
      <c r="N54" t="str">
        <f t="shared" si="1"/>
        <v/>
      </c>
    </row>
    <row r="55" spans="1:14" x14ac:dyDescent="0.35">
      <c r="A55" t="s">
        <v>24</v>
      </c>
      <c r="B55" t="s">
        <v>17</v>
      </c>
      <c r="C55" t="s">
        <v>14</v>
      </c>
      <c r="D55" t="s">
        <v>12</v>
      </c>
      <c r="E55" s="1">
        <v>0.33333333333333331</v>
      </c>
      <c r="F55" t="s">
        <v>15</v>
      </c>
      <c r="G55">
        <v>367.2</v>
      </c>
      <c r="H55">
        <v>24.5</v>
      </c>
      <c r="I55">
        <v>30.6</v>
      </c>
      <c r="J55">
        <v>10.199999999999999</v>
      </c>
      <c r="K55">
        <v>5.0999999999999996</v>
      </c>
      <c r="L55">
        <v>60</v>
      </c>
      <c r="M55" t="str">
        <f t="shared" si="0"/>
        <v/>
      </c>
      <c r="N55">
        <f t="shared" si="1"/>
        <v>367.2</v>
      </c>
    </row>
    <row r="56" spans="1:14" x14ac:dyDescent="0.35">
      <c r="A56" t="s">
        <v>24</v>
      </c>
      <c r="B56" t="s">
        <v>18</v>
      </c>
      <c r="C56" t="s">
        <v>11</v>
      </c>
      <c r="D56" t="s">
        <v>12</v>
      </c>
      <c r="E56" s="1">
        <v>0.33333333333333331</v>
      </c>
      <c r="F56" t="s">
        <v>13</v>
      </c>
      <c r="G56">
        <v>357</v>
      </c>
      <c r="H56">
        <v>20.399999999999999</v>
      </c>
      <c r="I56">
        <v>35.700000000000003</v>
      </c>
      <c r="J56">
        <v>12.2</v>
      </c>
      <c r="K56">
        <v>6.1</v>
      </c>
      <c r="L56">
        <v>49</v>
      </c>
      <c r="M56">
        <f t="shared" si="0"/>
        <v>357</v>
      </c>
      <c r="N56" t="str">
        <f t="shared" si="1"/>
        <v/>
      </c>
    </row>
    <row r="57" spans="1:14" x14ac:dyDescent="0.35">
      <c r="A57" t="s">
        <v>24</v>
      </c>
      <c r="B57" t="s">
        <v>18</v>
      </c>
      <c r="C57" t="s">
        <v>14</v>
      </c>
      <c r="D57" t="s">
        <v>12</v>
      </c>
      <c r="E57" s="1">
        <v>0.33333333333333331</v>
      </c>
      <c r="F57" t="s">
        <v>15</v>
      </c>
      <c r="G57">
        <v>367.2</v>
      </c>
      <c r="H57">
        <v>24.5</v>
      </c>
      <c r="I57">
        <v>30.6</v>
      </c>
      <c r="J57">
        <v>10.199999999999999</v>
      </c>
      <c r="K57">
        <v>5.0999999999999996</v>
      </c>
      <c r="L57">
        <v>50</v>
      </c>
      <c r="M57" t="str">
        <f t="shared" si="0"/>
        <v/>
      </c>
      <c r="N57">
        <f t="shared" si="1"/>
        <v>367.2</v>
      </c>
    </row>
    <row r="58" spans="1:14" x14ac:dyDescent="0.35">
      <c r="A58" t="s">
        <v>9</v>
      </c>
      <c r="B58" t="s">
        <v>10</v>
      </c>
      <c r="C58" t="s">
        <v>11</v>
      </c>
      <c r="D58" t="s">
        <v>25</v>
      </c>
      <c r="E58" s="1">
        <v>0.54166666666666663</v>
      </c>
      <c r="F58" t="s">
        <v>26</v>
      </c>
      <c r="G58">
        <v>403.2</v>
      </c>
      <c r="H58">
        <v>17.3</v>
      </c>
      <c r="I58">
        <v>43.2</v>
      </c>
      <c r="J58">
        <v>11.5</v>
      </c>
      <c r="K58">
        <v>7.7</v>
      </c>
      <c r="L58">
        <v>45</v>
      </c>
      <c r="M58">
        <f t="shared" si="0"/>
        <v>403.2</v>
      </c>
      <c r="N58" t="str">
        <f t="shared" si="1"/>
        <v/>
      </c>
    </row>
    <row r="59" spans="1:14" x14ac:dyDescent="0.35">
      <c r="A59" t="s">
        <v>9</v>
      </c>
      <c r="B59" t="s">
        <v>10</v>
      </c>
      <c r="C59" t="s">
        <v>14</v>
      </c>
      <c r="D59" t="s">
        <v>25</v>
      </c>
      <c r="E59" s="1">
        <v>0.54166666666666663</v>
      </c>
      <c r="F59" t="s">
        <v>27</v>
      </c>
      <c r="G59">
        <v>460.8</v>
      </c>
      <c r="H59">
        <v>30.7</v>
      </c>
      <c r="I59">
        <v>48</v>
      </c>
      <c r="J59">
        <v>13.4</v>
      </c>
      <c r="K59">
        <v>5.8</v>
      </c>
      <c r="L59">
        <v>49</v>
      </c>
      <c r="M59" t="str">
        <f t="shared" si="0"/>
        <v/>
      </c>
      <c r="N59">
        <f t="shared" si="1"/>
        <v>460.8</v>
      </c>
    </row>
    <row r="60" spans="1:14" x14ac:dyDescent="0.35">
      <c r="A60" t="s">
        <v>9</v>
      </c>
      <c r="B60" t="s">
        <v>16</v>
      </c>
      <c r="C60" t="s">
        <v>11</v>
      </c>
      <c r="D60" t="s">
        <v>25</v>
      </c>
      <c r="E60" s="1">
        <v>0.54166666666666663</v>
      </c>
      <c r="F60" t="s">
        <v>26</v>
      </c>
      <c r="G60">
        <v>403.2</v>
      </c>
      <c r="H60">
        <v>17.3</v>
      </c>
      <c r="I60">
        <v>43.2</v>
      </c>
      <c r="J60">
        <v>11.5</v>
      </c>
      <c r="K60">
        <v>7.7</v>
      </c>
      <c r="L60">
        <v>50</v>
      </c>
      <c r="M60">
        <f t="shared" si="0"/>
        <v>403.2</v>
      </c>
      <c r="N60" t="str">
        <f t="shared" si="1"/>
        <v/>
      </c>
    </row>
    <row r="61" spans="1:14" x14ac:dyDescent="0.35">
      <c r="A61" t="s">
        <v>9</v>
      </c>
      <c r="B61" t="s">
        <v>16</v>
      </c>
      <c r="C61" t="s">
        <v>14</v>
      </c>
      <c r="D61" t="s">
        <v>25</v>
      </c>
      <c r="E61" s="1">
        <v>0.54166666666666663</v>
      </c>
      <c r="F61" t="s">
        <v>27</v>
      </c>
      <c r="G61">
        <v>460.8</v>
      </c>
      <c r="H61">
        <v>30.7</v>
      </c>
      <c r="I61">
        <v>48</v>
      </c>
      <c r="J61">
        <v>13.4</v>
      </c>
      <c r="K61">
        <v>5.8</v>
      </c>
      <c r="L61">
        <v>54</v>
      </c>
      <c r="M61" t="str">
        <f t="shared" si="0"/>
        <v/>
      </c>
      <c r="N61">
        <f t="shared" si="1"/>
        <v>460.8</v>
      </c>
    </row>
    <row r="62" spans="1:14" x14ac:dyDescent="0.35">
      <c r="A62" t="s">
        <v>9</v>
      </c>
      <c r="B62" t="s">
        <v>17</v>
      </c>
      <c r="C62" t="s">
        <v>11</v>
      </c>
      <c r="D62" t="s">
        <v>25</v>
      </c>
      <c r="E62" s="1">
        <v>0.54166666666666663</v>
      </c>
      <c r="F62" t="s">
        <v>26</v>
      </c>
      <c r="G62">
        <v>403.2</v>
      </c>
      <c r="H62">
        <v>17.3</v>
      </c>
      <c r="I62">
        <v>43.2</v>
      </c>
      <c r="J62">
        <v>11.5</v>
      </c>
      <c r="K62">
        <v>7.7</v>
      </c>
      <c r="L62">
        <v>61</v>
      </c>
      <c r="M62">
        <f t="shared" si="0"/>
        <v>403.2</v>
      </c>
      <c r="N62" t="str">
        <f t="shared" si="1"/>
        <v/>
      </c>
    </row>
    <row r="63" spans="1:14" x14ac:dyDescent="0.35">
      <c r="A63" t="s">
        <v>9</v>
      </c>
      <c r="B63" t="s">
        <v>17</v>
      </c>
      <c r="C63" t="s">
        <v>14</v>
      </c>
      <c r="D63" t="s">
        <v>25</v>
      </c>
      <c r="E63" s="1">
        <v>0.54166666666666663</v>
      </c>
      <c r="F63" t="s">
        <v>27</v>
      </c>
      <c r="G63">
        <v>460.8</v>
      </c>
      <c r="H63">
        <v>30.7</v>
      </c>
      <c r="I63">
        <v>48</v>
      </c>
      <c r="J63">
        <v>13.4</v>
      </c>
      <c r="K63">
        <v>5.8</v>
      </c>
      <c r="L63">
        <v>64</v>
      </c>
      <c r="M63" t="str">
        <f t="shared" si="0"/>
        <v/>
      </c>
      <c r="N63">
        <f t="shared" si="1"/>
        <v>460.8</v>
      </c>
    </row>
    <row r="64" spans="1:14" x14ac:dyDescent="0.35">
      <c r="A64" t="s">
        <v>9</v>
      </c>
      <c r="B64" t="s">
        <v>18</v>
      </c>
      <c r="C64" t="s">
        <v>11</v>
      </c>
      <c r="D64" t="s">
        <v>25</v>
      </c>
      <c r="E64" s="1">
        <v>0.54166666666666663</v>
      </c>
      <c r="F64" t="s">
        <v>26</v>
      </c>
      <c r="G64">
        <v>403.2</v>
      </c>
      <c r="H64">
        <v>17.3</v>
      </c>
      <c r="I64">
        <v>43.2</v>
      </c>
      <c r="J64">
        <v>11.5</v>
      </c>
      <c r="K64">
        <v>7.7</v>
      </c>
      <c r="L64">
        <v>57</v>
      </c>
      <c r="M64">
        <f t="shared" si="0"/>
        <v>403.2</v>
      </c>
      <c r="N64" t="str">
        <f t="shared" si="1"/>
        <v/>
      </c>
    </row>
    <row r="65" spans="1:14" x14ac:dyDescent="0.35">
      <c r="A65" t="s">
        <v>9</v>
      </c>
      <c r="B65" t="s">
        <v>18</v>
      </c>
      <c r="C65" t="s">
        <v>14</v>
      </c>
      <c r="D65" t="s">
        <v>25</v>
      </c>
      <c r="E65" s="1">
        <v>0.54166666666666663</v>
      </c>
      <c r="F65" t="s">
        <v>27</v>
      </c>
      <c r="G65">
        <v>460.8</v>
      </c>
      <c r="H65">
        <v>30.7</v>
      </c>
      <c r="I65">
        <v>48</v>
      </c>
      <c r="J65">
        <v>13.4</v>
      </c>
      <c r="K65">
        <v>5.8</v>
      </c>
      <c r="L65">
        <v>59</v>
      </c>
      <c r="M65" t="str">
        <f t="shared" si="0"/>
        <v/>
      </c>
      <c r="N65">
        <f t="shared" si="1"/>
        <v>460.8</v>
      </c>
    </row>
    <row r="66" spans="1:14" x14ac:dyDescent="0.35">
      <c r="A66" t="s">
        <v>19</v>
      </c>
      <c r="B66" t="s">
        <v>10</v>
      </c>
      <c r="C66" t="s">
        <v>11</v>
      </c>
      <c r="D66" t="s">
        <v>25</v>
      </c>
      <c r="E66" s="1">
        <v>0.54166666666666663</v>
      </c>
      <c r="F66" t="s">
        <v>26</v>
      </c>
      <c r="G66">
        <v>407.4</v>
      </c>
      <c r="H66">
        <v>17.5</v>
      </c>
      <c r="I66">
        <v>43.6</v>
      </c>
      <c r="J66">
        <v>11.6</v>
      </c>
      <c r="K66">
        <v>7.8</v>
      </c>
      <c r="L66">
        <v>47</v>
      </c>
      <c r="M66">
        <f t="shared" si="0"/>
        <v>407.4</v>
      </c>
      <c r="N66" t="str">
        <f t="shared" si="1"/>
        <v/>
      </c>
    </row>
    <row r="67" spans="1:14" x14ac:dyDescent="0.35">
      <c r="A67" t="s">
        <v>19</v>
      </c>
      <c r="B67" t="s">
        <v>10</v>
      </c>
      <c r="C67" t="s">
        <v>14</v>
      </c>
      <c r="D67" t="s">
        <v>25</v>
      </c>
      <c r="E67" s="1">
        <v>0.54166666666666663</v>
      </c>
      <c r="F67" t="s">
        <v>27</v>
      </c>
      <c r="G67">
        <v>465.6</v>
      </c>
      <c r="H67">
        <v>31</v>
      </c>
      <c r="I67">
        <v>48.5</v>
      </c>
      <c r="J67">
        <v>13.6</v>
      </c>
      <c r="K67">
        <v>5.8</v>
      </c>
      <c r="L67">
        <v>50</v>
      </c>
      <c r="M67" t="str">
        <f t="shared" ref="M67:M130" si="2">IF(C67="Veg",G67,"")</f>
        <v/>
      </c>
      <c r="N67">
        <f t="shared" si="1"/>
        <v>465.6</v>
      </c>
    </row>
    <row r="68" spans="1:14" x14ac:dyDescent="0.35">
      <c r="A68" t="s">
        <v>19</v>
      </c>
      <c r="B68" t="s">
        <v>16</v>
      </c>
      <c r="C68" t="s">
        <v>11</v>
      </c>
      <c r="D68" t="s">
        <v>25</v>
      </c>
      <c r="E68" s="1">
        <v>0.54166666666666663</v>
      </c>
      <c r="F68" t="s">
        <v>26</v>
      </c>
      <c r="G68">
        <v>407.4</v>
      </c>
      <c r="H68">
        <v>17.5</v>
      </c>
      <c r="I68">
        <v>43.6</v>
      </c>
      <c r="J68">
        <v>11.6</v>
      </c>
      <c r="K68">
        <v>7.8</v>
      </c>
      <c r="L68">
        <v>52</v>
      </c>
      <c r="M68">
        <f t="shared" si="2"/>
        <v>407.4</v>
      </c>
      <c r="N68" t="str">
        <f t="shared" ref="N68:N131" si="3">IF(C68="Non-Veg",G68,"")</f>
        <v/>
      </c>
    </row>
    <row r="69" spans="1:14" x14ac:dyDescent="0.35">
      <c r="A69" t="s">
        <v>19</v>
      </c>
      <c r="B69" t="s">
        <v>16</v>
      </c>
      <c r="C69" t="s">
        <v>14</v>
      </c>
      <c r="D69" t="s">
        <v>25</v>
      </c>
      <c r="E69" s="1">
        <v>0.54166666666666663</v>
      </c>
      <c r="F69" t="s">
        <v>27</v>
      </c>
      <c r="G69">
        <v>465.6</v>
      </c>
      <c r="H69">
        <v>31</v>
      </c>
      <c r="I69">
        <v>48.5</v>
      </c>
      <c r="J69">
        <v>13.6</v>
      </c>
      <c r="K69">
        <v>5.8</v>
      </c>
      <c r="L69">
        <v>58</v>
      </c>
      <c r="M69" t="str">
        <f t="shared" si="2"/>
        <v/>
      </c>
      <c r="N69">
        <f t="shared" si="3"/>
        <v>465.6</v>
      </c>
    </row>
    <row r="70" spans="1:14" x14ac:dyDescent="0.35">
      <c r="A70" t="s">
        <v>19</v>
      </c>
      <c r="B70" t="s">
        <v>17</v>
      </c>
      <c r="C70" t="s">
        <v>11</v>
      </c>
      <c r="D70" t="s">
        <v>25</v>
      </c>
      <c r="E70" s="1">
        <v>0.54166666666666663</v>
      </c>
      <c r="F70" t="s">
        <v>26</v>
      </c>
      <c r="G70">
        <v>407.4</v>
      </c>
      <c r="H70">
        <v>17.5</v>
      </c>
      <c r="I70">
        <v>43.6</v>
      </c>
      <c r="J70">
        <v>11.6</v>
      </c>
      <c r="K70">
        <v>7.8</v>
      </c>
      <c r="L70">
        <v>63</v>
      </c>
      <c r="M70">
        <f t="shared" si="2"/>
        <v>407.4</v>
      </c>
      <c r="N70" t="str">
        <f t="shared" si="3"/>
        <v/>
      </c>
    </row>
    <row r="71" spans="1:14" x14ac:dyDescent="0.35">
      <c r="A71" t="s">
        <v>19</v>
      </c>
      <c r="B71" t="s">
        <v>17</v>
      </c>
      <c r="C71" t="s">
        <v>14</v>
      </c>
      <c r="D71" t="s">
        <v>25</v>
      </c>
      <c r="E71" s="1">
        <v>0.54166666666666663</v>
      </c>
      <c r="F71" t="s">
        <v>27</v>
      </c>
      <c r="G71">
        <v>465.6</v>
      </c>
      <c r="H71">
        <v>31</v>
      </c>
      <c r="I71">
        <v>48.5</v>
      </c>
      <c r="J71">
        <v>13.6</v>
      </c>
      <c r="K71">
        <v>5.8</v>
      </c>
      <c r="L71">
        <v>60</v>
      </c>
      <c r="M71" t="str">
        <f t="shared" si="2"/>
        <v/>
      </c>
      <c r="N71">
        <f t="shared" si="3"/>
        <v>465.6</v>
      </c>
    </row>
    <row r="72" spans="1:14" x14ac:dyDescent="0.35">
      <c r="A72" t="s">
        <v>19</v>
      </c>
      <c r="B72" t="s">
        <v>18</v>
      </c>
      <c r="C72" t="s">
        <v>11</v>
      </c>
      <c r="D72" t="s">
        <v>25</v>
      </c>
      <c r="E72" s="1">
        <v>0.54166666666666663</v>
      </c>
      <c r="F72" t="s">
        <v>26</v>
      </c>
      <c r="G72">
        <v>407.4</v>
      </c>
      <c r="H72">
        <v>17.5</v>
      </c>
      <c r="I72">
        <v>43.6</v>
      </c>
      <c r="J72">
        <v>11.6</v>
      </c>
      <c r="K72">
        <v>7.8</v>
      </c>
      <c r="L72">
        <v>57</v>
      </c>
      <c r="M72">
        <f t="shared" si="2"/>
        <v>407.4</v>
      </c>
      <c r="N72" t="str">
        <f t="shared" si="3"/>
        <v/>
      </c>
    </row>
    <row r="73" spans="1:14" x14ac:dyDescent="0.35">
      <c r="A73" t="s">
        <v>19</v>
      </c>
      <c r="B73" t="s">
        <v>18</v>
      </c>
      <c r="C73" t="s">
        <v>14</v>
      </c>
      <c r="D73" t="s">
        <v>25</v>
      </c>
      <c r="E73" s="1">
        <v>0.54166666666666663</v>
      </c>
      <c r="F73" t="s">
        <v>27</v>
      </c>
      <c r="G73">
        <v>465.6</v>
      </c>
      <c r="H73">
        <v>31</v>
      </c>
      <c r="I73">
        <v>48.5</v>
      </c>
      <c r="J73">
        <v>13.6</v>
      </c>
      <c r="K73">
        <v>5.8</v>
      </c>
      <c r="L73">
        <v>59</v>
      </c>
      <c r="M73" t="str">
        <f t="shared" si="2"/>
        <v/>
      </c>
      <c r="N73">
        <f t="shared" si="3"/>
        <v>465.6</v>
      </c>
    </row>
    <row r="74" spans="1:14" x14ac:dyDescent="0.35">
      <c r="A74" t="s">
        <v>20</v>
      </c>
      <c r="B74" t="s">
        <v>10</v>
      </c>
      <c r="C74" t="s">
        <v>11</v>
      </c>
      <c r="D74" t="s">
        <v>25</v>
      </c>
      <c r="E74" s="1">
        <v>0.54166666666666663</v>
      </c>
      <c r="F74" t="s">
        <v>26</v>
      </c>
      <c r="G74">
        <v>411.6</v>
      </c>
      <c r="H74">
        <v>17.600000000000001</v>
      </c>
      <c r="I74">
        <v>44.1</v>
      </c>
      <c r="J74">
        <v>11.8</v>
      </c>
      <c r="K74">
        <v>7.8</v>
      </c>
      <c r="L74">
        <v>46</v>
      </c>
      <c r="M74">
        <f t="shared" si="2"/>
        <v>411.6</v>
      </c>
      <c r="N74" t="str">
        <f t="shared" si="3"/>
        <v/>
      </c>
    </row>
    <row r="75" spans="1:14" x14ac:dyDescent="0.35">
      <c r="A75" t="s">
        <v>20</v>
      </c>
      <c r="B75" t="s">
        <v>10</v>
      </c>
      <c r="C75" t="s">
        <v>14</v>
      </c>
      <c r="D75" t="s">
        <v>25</v>
      </c>
      <c r="E75" s="1">
        <v>0.54166666666666663</v>
      </c>
      <c r="F75" t="s">
        <v>27</v>
      </c>
      <c r="G75">
        <v>470.4</v>
      </c>
      <c r="H75">
        <v>31.4</v>
      </c>
      <c r="I75">
        <v>49</v>
      </c>
      <c r="J75">
        <v>13.7</v>
      </c>
      <c r="K75">
        <v>5.9</v>
      </c>
      <c r="L75">
        <v>48</v>
      </c>
      <c r="M75" t="str">
        <f t="shared" si="2"/>
        <v/>
      </c>
      <c r="N75">
        <f t="shared" si="3"/>
        <v>470.4</v>
      </c>
    </row>
    <row r="76" spans="1:14" x14ac:dyDescent="0.35">
      <c r="A76" t="s">
        <v>20</v>
      </c>
      <c r="B76" t="s">
        <v>16</v>
      </c>
      <c r="C76" t="s">
        <v>11</v>
      </c>
      <c r="D76" t="s">
        <v>25</v>
      </c>
      <c r="E76" s="1">
        <v>0.54166666666666663</v>
      </c>
      <c r="F76" t="s">
        <v>26</v>
      </c>
      <c r="G76">
        <v>411.6</v>
      </c>
      <c r="H76">
        <v>17.600000000000001</v>
      </c>
      <c r="I76">
        <v>44.1</v>
      </c>
      <c r="J76">
        <v>11.8</v>
      </c>
      <c r="K76">
        <v>7.8</v>
      </c>
      <c r="L76">
        <v>49</v>
      </c>
      <c r="M76">
        <f t="shared" si="2"/>
        <v>411.6</v>
      </c>
      <c r="N76" t="str">
        <f t="shared" si="3"/>
        <v/>
      </c>
    </row>
    <row r="77" spans="1:14" x14ac:dyDescent="0.35">
      <c r="A77" t="s">
        <v>20</v>
      </c>
      <c r="B77" t="s">
        <v>16</v>
      </c>
      <c r="C77" t="s">
        <v>14</v>
      </c>
      <c r="D77" t="s">
        <v>25</v>
      </c>
      <c r="E77" s="1">
        <v>0.54166666666666663</v>
      </c>
      <c r="F77" t="s">
        <v>27</v>
      </c>
      <c r="G77">
        <v>470.4</v>
      </c>
      <c r="H77">
        <v>31.4</v>
      </c>
      <c r="I77">
        <v>49</v>
      </c>
      <c r="J77">
        <v>13.7</v>
      </c>
      <c r="K77">
        <v>5.9</v>
      </c>
      <c r="L77">
        <v>52</v>
      </c>
      <c r="M77" t="str">
        <f t="shared" si="2"/>
        <v/>
      </c>
      <c r="N77">
        <f t="shared" si="3"/>
        <v>470.4</v>
      </c>
    </row>
    <row r="78" spans="1:14" x14ac:dyDescent="0.35">
      <c r="A78" t="s">
        <v>20</v>
      </c>
      <c r="B78" t="s">
        <v>17</v>
      </c>
      <c r="C78" t="s">
        <v>11</v>
      </c>
      <c r="D78" t="s">
        <v>25</v>
      </c>
      <c r="E78" s="1">
        <v>0.54166666666666663</v>
      </c>
      <c r="F78" t="s">
        <v>26</v>
      </c>
      <c r="G78">
        <v>411.6</v>
      </c>
      <c r="H78">
        <v>17.600000000000001</v>
      </c>
      <c r="I78">
        <v>44.1</v>
      </c>
      <c r="J78">
        <v>11.8</v>
      </c>
      <c r="K78">
        <v>7.8</v>
      </c>
      <c r="L78">
        <v>60</v>
      </c>
      <c r="M78">
        <f t="shared" si="2"/>
        <v>411.6</v>
      </c>
      <c r="N78" t="str">
        <f t="shared" si="3"/>
        <v/>
      </c>
    </row>
    <row r="79" spans="1:14" x14ac:dyDescent="0.35">
      <c r="A79" t="s">
        <v>20</v>
      </c>
      <c r="B79" t="s">
        <v>17</v>
      </c>
      <c r="C79" t="s">
        <v>14</v>
      </c>
      <c r="D79" t="s">
        <v>25</v>
      </c>
      <c r="E79" s="1">
        <v>0.54166666666666663</v>
      </c>
      <c r="F79" t="s">
        <v>27</v>
      </c>
      <c r="G79">
        <v>470.4</v>
      </c>
      <c r="H79">
        <v>31.4</v>
      </c>
      <c r="I79">
        <v>49</v>
      </c>
      <c r="J79">
        <v>13.7</v>
      </c>
      <c r="K79">
        <v>5.9</v>
      </c>
      <c r="L79">
        <v>63</v>
      </c>
      <c r="M79" t="str">
        <f t="shared" si="2"/>
        <v/>
      </c>
      <c r="N79">
        <f t="shared" si="3"/>
        <v>470.4</v>
      </c>
    </row>
    <row r="80" spans="1:14" x14ac:dyDescent="0.35">
      <c r="A80" t="s">
        <v>20</v>
      </c>
      <c r="B80" t="s">
        <v>18</v>
      </c>
      <c r="C80" t="s">
        <v>11</v>
      </c>
      <c r="D80" t="s">
        <v>25</v>
      </c>
      <c r="E80" s="1">
        <v>0.54166666666666663</v>
      </c>
      <c r="F80" t="s">
        <v>26</v>
      </c>
      <c r="G80">
        <v>411.6</v>
      </c>
      <c r="H80">
        <v>17.600000000000001</v>
      </c>
      <c r="I80">
        <v>44.1</v>
      </c>
      <c r="J80">
        <v>11.8</v>
      </c>
      <c r="K80">
        <v>7.8</v>
      </c>
      <c r="L80">
        <v>56</v>
      </c>
      <c r="M80">
        <f t="shared" si="2"/>
        <v>411.6</v>
      </c>
      <c r="N80" t="str">
        <f t="shared" si="3"/>
        <v/>
      </c>
    </row>
    <row r="81" spans="1:14" x14ac:dyDescent="0.35">
      <c r="A81" t="s">
        <v>20</v>
      </c>
      <c r="B81" t="s">
        <v>18</v>
      </c>
      <c r="C81" t="s">
        <v>14</v>
      </c>
      <c r="D81" t="s">
        <v>25</v>
      </c>
      <c r="E81" s="1">
        <v>0.54166666666666663</v>
      </c>
      <c r="F81" t="s">
        <v>27</v>
      </c>
      <c r="G81">
        <v>470.4</v>
      </c>
      <c r="H81">
        <v>31.4</v>
      </c>
      <c r="I81">
        <v>49</v>
      </c>
      <c r="J81">
        <v>13.7</v>
      </c>
      <c r="K81">
        <v>5.9</v>
      </c>
      <c r="L81">
        <v>55</v>
      </c>
      <c r="M81" t="str">
        <f t="shared" si="2"/>
        <v/>
      </c>
      <c r="N81">
        <f t="shared" si="3"/>
        <v>470.4</v>
      </c>
    </row>
    <row r="82" spans="1:14" x14ac:dyDescent="0.35">
      <c r="A82" t="s">
        <v>21</v>
      </c>
      <c r="B82" t="s">
        <v>10</v>
      </c>
      <c r="C82" t="s">
        <v>11</v>
      </c>
      <c r="D82" t="s">
        <v>25</v>
      </c>
      <c r="E82" s="1">
        <v>0.54166666666666663</v>
      </c>
      <c r="F82" t="s">
        <v>26</v>
      </c>
      <c r="G82">
        <v>415.8</v>
      </c>
      <c r="H82">
        <v>17.8</v>
      </c>
      <c r="I82">
        <v>44.5</v>
      </c>
      <c r="J82">
        <v>11.9</v>
      </c>
      <c r="K82">
        <v>7.9</v>
      </c>
      <c r="L82">
        <v>43</v>
      </c>
      <c r="M82">
        <f t="shared" si="2"/>
        <v>415.8</v>
      </c>
      <c r="N82" t="str">
        <f t="shared" si="3"/>
        <v/>
      </c>
    </row>
    <row r="83" spans="1:14" x14ac:dyDescent="0.35">
      <c r="A83" t="s">
        <v>21</v>
      </c>
      <c r="B83" t="s">
        <v>10</v>
      </c>
      <c r="C83" t="s">
        <v>14</v>
      </c>
      <c r="D83" t="s">
        <v>25</v>
      </c>
      <c r="E83" s="1">
        <v>0.54166666666666663</v>
      </c>
      <c r="F83" t="s">
        <v>27</v>
      </c>
      <c r="G83">
        <v>475.2</v>
      </c>
      <c r="H83">
        <v>31.7</v>
      </c>
      <c r="I83">
        <v>49.5</v>
      </c>
      <c r="J83">
        <v>13.9</v>
      </c>
      <c r="K83">
        <v>5.9</v>
      </c>
      <c r="L83">
        <v>48</v>
      </c>
      <c r="M83" t="str">
        <f t="shared" si="2"/>
        <v/>
      </c>
      <c r="N83">
        <f t="shared" si="3"/>
        <v>475.2</v>
      </c>
    </row>
    <row r="84" spans="1:14" x14ac:dyDescent="0.35">
      <c r="A84" t="s">
        <v>21</v>
      </c>
      <c r="B84" t="s">
        <v>16</v>
      </c>
      <c r="C84" t="s">
        <v>11</v>
      </c>
      <c r="D84" t="s">
        <v>25</v>
      </c>
      <c r="E84" s="1">
        <v>0.54166666666666663</v>
      </c>
      <c r="F84" t="s">
        <v>26</v>
      </c>
      <c r="G84">
        <v>415.8</v>
      </c>
      <c r="H84">
        <v>17.8</v>
      </c>
      <c r="I84">
        <v>44.5</v>
      </c>
      <c r="J84">
        <v>11.9</v>
      </c>
      <c r="K84">
        <v>7.9</v>
      </c>
      <c r="L84">
        <v>50</v>
      </c>
      <c r="M84">
        <f t="shared" si="2"/>
        <v>415.8</v>
      </c>
      <c r="N84" t="str">
        <f t="shared" si="3"/>
        <v/>
      </c>
    </row>
    <row r="85" spans="1:14" x14ac:dyDescent="0.35">
      <c r="A85" t="s">
        <v>21</v>
      </c>
      <c r="B85" t="s">
        <v>16</v>
      </c>
      <c r="C85" t="s">
        <v>14</v>
      </c>
      <c r="D85" t="s">
        <v>25</v>
      </c>
      <c r="E85" s="1">
        <v>0.54166666666666663</v>
      </c>
      <c r="F85" t="s">
        <v>27</v>
      </c>
      <c r="G85">
        <v>475.2</v>
      </c>
      <c r="H85">
        <v>31.7</v>
      </c>
      <c r="I85">
        <v>49.5</v>
      </c>
      <c r="J85">
        <v>13.9</v>
      </c>
      <c r="K85">
        <v>5.9</v>
      </c>
      <c r="L85">
        <v>53</v>
      </c>
      <c r="M85" t="str">
        <f t="shared" si="2"/>
        <v/>
      </c>
      <c r="N85">
        <f t="shared" si="3"/>
        <v>475.2</v>
      </c>
    </row>
    <row r="86" spans="1:14" x14ac:dyDescent="0.35">
      <c r="A86" t="s">
        <v>21</v>
      </c>
      <c r="B86" t="s">
        <v>17</v>
      </c>
      <c r="C86" t="s">
        <v>11</v>
      </c>
      <c r="D86" t="s">
        <v>25</v>
      </c>
      <c r="E86" s="1">
        <v>0.54166666666666663</v>
      </c>
      <c r="F86" t="s">
        <v>26</v>
      </c>
      <c r="G86">
        <v>415.8</v>
      </c>
      <c r="H86">
        <v>17.8</v>
      </c>
      <c r="I86">
        <v>44.5</v>
      </c>
      <c r="J86">
        <v>11.9</v>
      </c>
      <c r="K86">
        <v>7.9</v>
      </c>
      <c r="L86">
        <v>59</v>
      </c>
      <c r="M86">
        <f t="shared" si="2"/>
        <v>415.8</v>
      </c>
      <c r="N86" t="str">
        <f t="shared" si="3"/>
        <v/>
      </c>
    </row>
    <row r="87" spans="1:14" x14ac:dyDescent="0.35">
      <c r="A87" t="s">
        <v>21</v>
      </c>
      <c r="B87" t="s">
        <v>17</v>
      </c>
      <c r="C87" t="s">
        <v>14</v>
      </c>
      <c r="D87" t="s">
        <v>25</v>
      </c>
      <c r="E87" s="1">
        <v>0.54166666666666663</v>
      </c>
      <c r="F87" t="s">
        <v>27</v>
      </c>
      <c r="G87">
        <v>475.2</v>
      </c>
      <c r="H87">
        <v>31.7</v>
      </c>
      <c r="I87">
        <v>49.5</v>
      </c>
      <c r="J87">
        <v>13.9</v>
      </c>
      <c r="K87">
        <v>5.9</v>
      </c>
      <c r="L87">
        <v>64</v>
      </c>
      <c r="M87" t="str">
        <f t="shared" si="2"/>
        <v/>
      </c>
      <c r="N87">
        <f t="shared" si="3"/>
        <v>475.2</v>
      </c>
    </row>
    <row r="88" spans="1:14" x14ac:dyDescent="0.35">
      <c r="A88" t="s">
        <v>21</v>
      </c>
      <c r="B88" t="s">
        <v>18</v>
      </c>
      <c r="C88" t="s">
        <v>11</v>
      </c>
      <c r="D88" t="s">
        <v>25</v>
      </c>
      <c r="E88" s="1">
        <v>0.54166666666666663</v>
      </c>
      <c r="F88" t="s">
        <v>26</v>
      </c>
      <c r="G88">
        <v>415.8</v>
      </c>
      <c r="H88">
        <v>17.8</v>
      </c>
      <c r="I88">
        <v>44.5</v>
      </c>
      <c r="J88">
        <v>11.9</v>
      </c>
      <c r="K88">
        <v>7.9</v>
      </c>
      <c r="L88">
        <v>56</v>
      </c>
      <c r="M88">
        <f t="shared" si="2"/>
        <v>415.8</v>
      </c>
      <c r="N88" t="str">
        <f t="shared" si="3"/>
        <v/>
      </c>
    </row>
    <row r="89" spans="1:14" x14ac:dyDescent="0.35">
      <c r="A89" t="s">
        <v>21</v>
      </c>
      <c r="B89" t="s">
        <v>18</v>
      </c>
      <c r="C89" t="s">
        <v>14</v>
      </c>
      <c r="D89" t="s">
        <v>25</v>
      </c>
      <c r="E89" s="1">
        <v>0.54166666666666663</v>
      </c>
      <c r="F89" t="s">
        <v>27</v>
      </c>
      <c r="G89">
        <v>475.2</v>
      </c>
      <c r="H89">
        <v>31.7</v>
      </c>
      <c r="I89">
        <v>49.5</v>
      </c>
      <c r="J89">
        <v>13.9</v>
      </c>
      <c r="K89">
        <v>5.9</v>
      </c>
      <c r="L89">
        <v>60</v>
      </c>
      <c r="M89" t="str">
        <f t="shared" si="2"/>
        <v/>
      </c>
      <c r="N89">
        <f t="shared" si="3"/>
        <v>475.2</v>
      </c>
    </row>
    <row r="90" spans="1:14" x14ac:dyDescent="0.35">
      <c r="A90" t="s">
        <v>22</v>
      </c>
      <c r="B90" t="s">
        <v>10</v>
      </c>
      <c r="C90" t="s">
        <v>11</v>
      </c>
      <c r="D90" t="s">
        <v>25</v>
      </c>
      <c r="E90" s="1">
        <v>0.54166666666666663</v>
      </c>
      <c r="F90" t="s">
        <v>26</v>
      </c>
      <c r="G90">
        <v>420</v>
      </c>
      <c r="H90">
        <v>18</v>
      </c>
      <c r="I90">
        <v>45</v>
      </c>
      <c r="J90">
        <v>12</v>
      </c>
      <c r="K90">
        <v>8</v>
      </c>
      <c r="L90">
        <v>43</v>
      </c>
      <c r="M90">
        <f t="shared" si="2"/>
        <v>420</v>
      </c>
      <c r="N90" t="str">
        <f t="shared" si="3"/>
        <v/>
      </c>
    </row>
    <row r="91" spans="1:14" x14ac:dyDescent="0.35">
      <c r="A91" t="s">
        <v>22</v>
      </c>
      <c r="B91" t="s">
        <v>10</v>
      </c>
      <c r="C91" t="s">
        <v>14</v>
      </c>
      <c r="D91" t="s">
        <v>25</v>
      </c>
      <c r="E91" s="1">
        <v>0.54166666666666663</v>
      </c>
      <c r="F91" t="s">
        <v>27</v>
      </c>
      <c r="G91">
        <v>480</v>
      </c>
      <c r="H91">
        <v>32</v>
      </c>
      <c r="I91">
        <v>50</v>
      </c>
      <c r="J91">
        <v>14</v>
      </c>
      <c r="K91">
        <v>6</v>
      </c>
      <c r="L91">
        <v>48</v>
      </c>
      <c r="M91" t="str">
        <f t="shared" si="2"/>
        <v/>
      </c>
      <c r="N91">
        <f t="shared" si="3"/>
        <v>480</v>
      </c>
    </row>
    <row r="92" spans="1:14" x14ac:dyDescent="0.35">
      <c r="A92" t="s">
        <v>22</v>
      </c>
      <c r="B92" t="s">
        <v>16</v>
      </c>
      <c r="C92" t="s">
        <v>11</v>
      </c>
      <c r="D92" t="s">
        <v>25</v>
      </c>
      <c r="E92" s="1">
        <v>0.54166666666666663</v>
      </c>
      <c r="F92" t="s">
        <v>26</v>
      </c>
      <c r="G92">
        <v>420</v>
      </c>
      <c r="H92">
        <v>18</v>
      </c>
      <c r="I92">
        <v>45</v>
      </c>
      <c r="J92">
        <v>12</v>
      </c>
      <c r="K92">
        <v>8</v>
      </c>
      <c r="L92">
        <v>47</v>
      </c>
      <c r="M92">
        <f t="shared" si="2"/>
        <v>420</v>
      </c>
      <c r="N92" t="str">
        <f t="shared" si="3"/>
        <v/>
      </c>
    </row>
    <row r="93" spans="1:14" x14ac:dyDescent="0.35">
      <c r="A93" t="s">
        <v>22</v>
      </c>
      <c r="B93" t="s">
        <v>16</v>
      </c>
      <c r="C93" t="s">
        <v>14</v>
      </c>
      <c r="D93" t="s">
        <v>25</v>
      </c>
      <c r="E93" s="1">
        <v>0.54166666666666663</v>
      </c>
      <c r="F93" t="s">
        <v>27</v>
      </c>
      <c r="G93">
        <v>480</v>
      </c>
      <c r="H93">
        <v>32</v>
      </c>
      <c r="I93">
        <v>50</v>
      </c>
      <c r="J93">
        <v>14</v>
      </c>
      <c r="K93">
        <v>6</v>
      </c>
      <c r="L93">
        <v>52</v>
      </c>
      <c r="M93" t="str">
        <f t="shared" si="2"/>
        <v/>
      </c>
      <c r="N93">
        <f t="shared" si="3"/>
        <v>480</v>
      </c>
    </row>
    <row r="94" spans="1:14" x14ac:dyDescent="0.35">
      <c r="A94" t="s">
        <v>22</v>
      </c>
      <c r="B94" t="s">
        <v>17</v>
      </c>
      <c r="C94" t="s">
        <v>11</v>
      </c>
      <c r="D94" t="s">
        <v>25</v>
      </c>
      <c r="E94" s="1">
        <v>0.54166666666666663</v>
      </c>
      <c r="F94" t="s">
        <v>26</v>
      </c>
      <c r="G94">
        <v>420</v>
      </c>
      <c r="H94">
        <v>18</v>
      </c>
      <c r="I94">
        <v>45</v>
      </c>
      <c r="J94">
        <v>12</v>
      </c>
      <c r="K94">
        <v>8</v>
      </c>
      <c r="L94">
        <v>60</v>
      </c>
      <c r="M94">
        <f t="shared" si="2"/>
        <v>420</v>
      </c>
      <c r="N94" t="str">
        <f t="shared" si="3"/>
        <v/>
      </c>
    </row>
    <row r="95" spans="1:14" x14ac:dyDescent="0.35">
      <c r="A95" t="s">
        <v>22</v>
      </c>
      <c r="B95" t="s">
        <v>17</v>
      </c>
      <c r="C95" t="s">
        <v>14</v>
      </c>
      <c r="D95" t="s">
        <v>25</v>
      </c>
      <c r="E95" s="1">
        <v>0.54166666666666663</v>
      </c>
      <c r="F95" t="s">
        <v>27</v>
      </c>
      <c r="G95">
        <v>480</v>
      </c>
      <c r="H95">
        <v>32</v>
      </c>
      <c r="I95">
        <v>50</v>
      </c>
      <c r="J95">
        <v>14</v>
      </c>
      <c r="K95">
        <v>6</v>
      </c>
      <c r="L95">
        <v>62</v>
      </c>
      <c r="M95" t="str">
        <f t="shared" si="2"/>
        <v/>
      </c>
      <c r="N95">
        <f t="shared" si="3"/>
        <v>480</v>
      </c>
    </row>
    <row r="96" spans="1:14" x14ac:dyDescent="0.35">
      <c r="A96" t="s">
        <v>22</v>
      </c>
      <c r="B96" t="s">
        <v>18</v>
      </c>
      <c r="C96" t="s">
        <v>11</v>
      </c>
      <c r="D96" t="s">
        <v>25</v>
      </c>
      <c r="E96" s="1">
        <v>0.54166666666666663</v>
      </c>
      <c r="F96" t="s">
        <v>26</v>
      </c>
      <c r="G96">
        <v>420</v>
      </c>
      <c r="H96">
        <v>18</v>
      </c>
      <c r="I96">
        <v>45</v>
      </c>
      <c r="J96">
        <v>12</v>
      </c>
      <c r="K96">
        <v>8</v>
      </c>
      <c r="L96">
        <v>56</v>
      </c>
      <c r="M96">
        <f t="shared" si="2"/>
        <v>420</v>
      </c>
      <c r="N96" t="str">
        <f t="shared" si="3"/>
        <v/>
      </c>
    </row>
    <row r="97" spans="1:14" x14ac:dyDescent="0.35">
      <c r="A97" t="s">
        <v>22</v>
      </c>
      <c r="B97" t="s">
        <v>18</v>
      </c>
      <c r="C97" t="s">
        <v>14</v>
      </c>
      <c r="D97" t="s">
        <v>25</v>
      </c>
      <c r="E97" s="1">
        <v>0.54166666666666663</v>
      </c>
      <c r="F97" t="s">
        <v>27</v>
      </c>
      <c r="G97">
        <v>480</v>
      </c>
      <c r="H97">
        <v>32</v>
      </c>
      <c r="I97">
        <v>50</v>
      </c>
      <c r="J97">
        <v>14</v>
      </c>
      <c r="K97">
        <v>6</v>
      </c>
      <c r="L97">
        <v>58</v>
      </c>
      <c r="M97" t="str">
        <f t="shared" si="2"/>
        <v/>
      </c>
      <c r="N97">
        <f t="shared" si="3"/>
        <v>480</v>
      </c>
    </row>
    <row r="98" spans="1:14" x14ac:dyDescent="0.35">
      <c r="A98" t="s">
        <v>23</v>
      </c>
      <c r="B98" t="s">
        <v>10</v>
      </c>
      <c r="C98" t="s">
        <v>11</v>
      </c>
      <c r="D98" t="s">
        <v>25</v>
      </c>
      <c r="E98" s="1">
        <v>0.54166666666666663</v>
      </c>
      <c r="F98" t="s">
        <v>26</v>
      </c>
      <c r="G98">
        <v>424.2</v>
      </c>
      <c r="H98">
        <v>18.2</v>
      </c>
      <c r="I98">
        <v>45.5</v>
      </c>
      <c r="J98">
        <v>12.1</v>
      </c>
      <c r="K98">
        <v>8.1</v>
      </c>
      <c r="L98">
        <v>45</v>
      </c>
      <c r="M98">
        <f t="shared" si="2"/>
        <v>424.2</v>
      </c>
      <c r="N98" t="str">
        <f t="shared" si="3"/>
        <v/>
      </c>
    </row>
    <row r="99" spans="1:14" x14ac:dyDescent="0.35">
      <c r="A99" t="s">
        <v>23</v>
      </c>
      <c r="B99" t="s">
        <v>10</v>
      </c>
      <c r="C99" t="s">
        <v>14</v>
      </c>
      <c r="D99" t="s">
        <v>25</v>
      </c>
      <c r="E99" s="1">
        <v>0.54166666666666663</v>
      </c>
      <c r="F99" t="s">
        <v>27</v>
      </c>
      <c r="G99">
        <v>484.8</v>
      </c>
      <c r="H99">
        <v>32.299999999999997</v>
      </c>
      <c r="I99">
        <v>50.5</v>
      </c>
      <c r="J99">
        <v>14.1</v>
      </c>
      <c r="K99">
        <v>6.1</v>
      </c>
      <c r="L99">
        <v>48</v>
      </c>
      <c r="M99" t="str">
        <f t="shared" si="2"/>
        <v/>
      </c>
      <c r="N99">
        <f t="shared" si="3"/>
        <v>484.8</v>
      </c>
    </row>
    <row r="100" spans="1:14" x14ac:dyDescent="0.35">
      <c r="A100" t="s">
        <v>23</v>
      </c>
      <c r="B100" t="s">
        <v>16</v>
      </c>
      <c r="C100" t="s">
        <v>11</v>
      </c>
      <c r="D100" t="s">
        <v>25</v>
      </c>
      <c r="E100" s="1">
        <v>0.54166666666666663</v>
      </c>
      <c r="F100" t="s">
        <v>26</v>
      </c>
      <c r="G100">
        <v>424.2</v>
      </c>
      <c r="H100">
        <v>18.2</v>
      </c>
      <c r="I100">
        <v>45.5</v>
      </c>
      <c r="J100">
        <v>12.1</v>
      </c>
      <c r="K100">
        <v>8.1</v>
      </c>
      <c r="L100">
        <v>48</v>
      </c>
      <c r="M100">
        <f t="shared" si="2"/>
        <v>424.2</v>
      </c>
      <c r="N100" t="str">
        <f t="shared" si="3"/>
        <v/>
      </c>
    </row>
    <row r="101" spans="1:14" x14ac:dyDescent="0.35">
      <c r="A101" t="s">
        <v>23</v>
      </c>
      <c r="B101" t="s">
        <v>16</v>
      </c>
      <c r="C101" t="s">
        <v>14</v>
      </c>
      <c r="D101" t="s">
        <v>25</v>
      </c>
      <c r="E101" s="1">
        <v>0.54166666666666663</v>
      </c>
      <c r="F101" t="s">
        <v>27</v>
      </c>
      <c r="G101">
        <v>484.8</v>
      </c>
      <c r="H101">
        <v>32.299999999999997</v>
      </c>
      <c r="I101">
        <v>50.5</v>
      </c>
      <c r="J101">
        <v>14.1</v>
      </c>
      <c r="K101">
        <v>6.1</v>
      </c>
      <c r="L101">
        <v>52</v>
      </c>
      <c r="M101" t="str">
        <f t="shared" si="2"/>
        <v/>
      </c>
      <c r="N101">
        <f t="shared" si="3"/>
        <v>484.8</v>
      </c>
    </row>
    <row r="102" spans="1:14" x14ac:dyDescent="0.35">
      <c r="A102" t="s">
        <v>23</v>
      </c>
      <c r="B102" t="s">
        <v>17</v>
      </c>
      <c r="C102" t="s">
        <v>11</v>
      </c>
      <c r="D102" t="s">
        <v>25</v>
      </c>
      <c r="E102" s="1">
        <v>0.54166666666666663</v>
      </c>
      <c r="F102" t="s">
        <v>26</v>
      </c>
      <c r="G102">
        <v>424.2</v>
      </c>
      <c r="H102">
        <v>18.2</v>
      </c>
      <c r="I102">
        <v>45.5</v>
      </c>
      <c r="J102">
        <v>12.1</v>
      </c>
      <c r="K102">
        <v>8.1</v>
      </c>
      <c r="L102">
        <v>57</v>
      </c>
      <c r="M102">
        <f t="shared" si="2"/>
        <v>424.2</v>
      </c>
      <c r="N102" t="str">
        <f t="shared" si="3"/>
        <v/>
      </c>
    </row>
    <row r="103" spans="1:14" x14ac:dyDescent="0.35">
      <c r="A103" t="s">
        <v>23</v>
      </c>
      <c r="B103" t="s">
        <v>17</v>
      </c>
      <c r="C103" t="s">
        <v>14</v>
      </c>
      <c r="D103" t="s">
        <v>25</v>
      </c>
      <c r="E103" s="1">
        <v>0.54166666666666663</v>
      </c>
      <c r="F103" t="s">
        <v>27</v>
      </c>
      <c r="G103">
        <v>484.8</v>
      </c>
      <c r="H103">
        <v>32.299999999999997</v>
      </c>
      <c r="I103">
        <v>50.5</v>
      </c>
      <c r="J103">
        <v>14.1</v>
      </c>
      <c r="K103">
        <v>6.1</v>
      </c>
      <c r="L103">
        <v>60</v>
      </c>
      <c r="M103" t="str">
        <f t="shared" si="2"/>
        <v/>
      </c>
      <c r="N103">
        <f t="shared" si="3"/>
        <v>484.8</v>
      </c>
    </row>
    <row r="104" spans="1:14" x14ac:dyDescent="0.35">
      <c r="A104" t="s">
        <v>23</v>
      </c>
      <c r="B104" t="s">
        <v>18</v>
      </c>
      <c r="C104" t="s">
        <v>11</v>
      </c>
      <c r="D104" t="s">
        <v>25</v>
      </c>
      <c r="E104" s="1">
        <v>0.54166666666666663</v>
      </c>
      <c r="F104" t="s">
        <v>26</v>
      </c>
      <c r="G104">
        <v>424.2</v>
      </c>
      <c r="H104">
        <v>18.2</v>
      </c>
      <c r="I104">
        <v>45.5</v>
      </c>
      <c r="J104">
        <v>12.1</v>
      </c>
      <c r="K104">
        <v>8.1</v>
      </c>
      <c r="L104">
        <v>54</v>
      </c>
      <c r="M104">
        <f t="shared" si="2"/>
        <v>424.2</v>
      </c>
      <c r="N104" t="str">
        <f t="shared" si="3"/>
        <v/>
      </c>
    </row>
    <row r="105" spans="1:14" x14ac:dyDescent="0.35">
      <c r="A105" t="s">
        <v>23</v>
      </c>
      <c r="B105" t="s">
        <v>18</v>
      </c>
      <c r="C105" t="s">
        <v>14</v>
      </c>
      <c r="D105" t="s">
        <v>25</v>
      </c>
      <c r="E105" s="1">
        <v>0.54166666666666663</v>
      </c>
      <c r="F105" t="s">
        <v>27</v>
      </c>
      <c r="G105">
        <v>484.8</v>
      </c>
      <c r="H105">
        <v>32.299999999999997</v>
      </c>
      <c r="I105">
        <v>50.5</v>
      </c>
      <c r="J105">
        <v>14.1</v>
      </c>
      <c r="K105">
        <v>6.1</v>
      </c>
      <c r="L105">
        <v>57</v>
      </c>
      <c r="M105" t="str">
        <f t="shared" si="2"/>
        <v/>
      </c>
      <c r="N105">
        <f t="shared" si="3"/>
        <v>484.8</v>
      </c>
    </row>
    <row r="106" spans="1:14" x14ac:dyDescent="0.35">
      <c r="A106" t="s">
        <v>24</v>
      </c>
      <c r="B106" t="s">
        <v>10</v>
      </c>
      <c r="C106" t="s">
        <v>11</v>
      </c>
      <c r="D106" t="s">
        <v>25</v>
      </c>
      <c r="E106" s="1">
        <v>0.54166666666666663</v>
      </c>
      <c r="F106" t="s">
        <v>26</v>
      </c>
      <c r="G106">
        <v>428.4</v>
      </c>
      <c r="H106">
        <v>18.399999999999999</v>
      </c>
      <c r="I106">
        <v>45.9</v>
      </c>
      <c r="J106">
        <v>12.2</v>
      </c>
      <c r="K106">
        <v>8.1999999999999993</v>
      </c>
      <c r="L106">
        <v>42</v>
      </c>
      <c r="M106">
        <f t="shared" si="2"/>
        <v>428.4</v>
      </c>
      <c r="N106" t="str">
        <f t="shared" si="3"/>
        <v/>
      </c>
    </row>
    <row r="107" spans="1:14" x14ac:dyDescent="0.35">
      <c r="A107" t="s">
        <v>24</v>
      </c>
      <c r="B107" t="s">
        <v>10</v>
      </c>
      <c r="C107" t="s">
        <v>14</v>
      </c>
      <c r="D107" t="s">
        <v>25</v>
      </c>
      <c r="E107" s="1">
        <v>0.54166666666666663</v>
      </c>
      <c r="F107" t="s">
        <v>27</v>
      </c>
      <c r="G107">
        <v>489.6</v>
      </c>
      <c r="H107">
        <v>32.6</v>
      </c>
      <c r="I107">
        <v>51</v>
      </c>
      <c r="J107">
        <v>14.3</v>
      </c>
      <c r="K107">
        <v>6.1</v>
      </c>
      <c r="L107">
        <v>47</v>
      </c>
      <c r="M107" t="str">
        <f t="shared" si="2"/>
        <v/>
      </c>
      <c r="N107">
        <f t="shared" si="3"/>
        <v>489.6</v>
      </c>
    </row>
    <row r="108" spans="1:14" x14ac:dyDescent="0.35">
      <c r="A108" t="s">
        <v>24</v>
      </c>
      <c r="B108" t="s">
        <v>16</v>
      </c>
      <c r="C108" t="s">
        <v>11</v>
      </c>
      <c r="D108" t="s">
        <v>25</v>
      </c>
      <c r="E108" s="1">
        <v>0.54166666666666663</v>
      </c>
      <c r="F108" t="s">
        <v>26</v>
      </c>
      <c r="G108">
        <v>428.4</v>
      </c>
      <c r="H108">
        <v>18.399999999999999</v>
      </c>
      <c r="I108">
        <v>45.9</v>
      </c>
      <c r="J108">
        <v>12.2</v>
      </c>
      <c r="K108">
        <v>8.1999999999999993</v>
      </c>
      <c r="L108">
        <v>48</v>
      </c>
      <c r="M108">
        <f t="shared" si="2"/>
        <v>428.4</v>
      </c>
      <c r="N108" t="str">
        <f t="shared" si="3"/>
        <v/>
      </c>
    </row>
    <row r="109" spans="1:14" x14ac:dyDescent="0.35">
      <c r="A109" t="s">
        <v>24</v>
      </c>
      <c r="B109" t="s">
        <v>16</v>
      </c>
      <c r="C109" t="s">
        <v>14</v>
      </c>
      <c r="D109" t="s">
        <v>25</v>
      </c>
      <c r="E109" s="1">
        <v>0.54166666666666663</v>
      </c>
      <c r="F109" t="s">
        <v>27</v>
      </c>
      <c r="G109">
        <v>489.6</v>
      </c>
      <c r="H109">
        <v>32.6</v>
      </c>
      <c r="I109">
        <v>51</v>
      </c>
      <c r="J109">
        <v>14.3</v>
      </c>
      <c r="K109">
        <v>6.1</v>
      </c>
      <c r="L109">
        <v>52</v>
      </c>
      <c r="M109" t="str">
        <f t="shared" si="2"/>
        <v/>
      </c>
      <c r="N109">
        <f t="shared" si="3"/>
        <v>489.6</v>
      </c>
    </row>
    <row r="110" spans="1:14" x14ac:dyDescent="0.35">
      <c r="A110" t="s">
        <v>24</v>
      </c>
      <c r="B110" t="s">
        <v>17</v>
      </c>
      <c r="C110" t="s">
        <v>11</v>
      </c>
      <c r="D110" t="s">
        <v>25</v>
      </c>
      <c r="E110" s="1">
        <v>0.54166666666666663</v>
      </c>
      <c r="F110" t="s">
        <v>26</v>
      </c>
      <c r="G110">
        <v>428.4</v>
      </c>
      <c r="H110">
        <v>18.399999999999999</v>
      </c>
      <c r="I110">
        <v>45.9</v>
      </c>
      <c r="J110">
        <v>12.2</v>
      </c>
      <c r="K110">
        <v>8.1999999999999993</v>
      </c>
      <c r="L110">
        <v>54</v>
      </c>
      <c r="M110">
        <f t="shared" si="2"/>
        <v>428.4</v>
      </c>
      <c r="N110" t="str">
        <f t="shared" si="3"/>
        <v/>
      </c>
    </row>
    <row r="111" spans="1:14" x14ac:dyDescent="0.35">
      <c r="A111" t="s">
        <v>24</v>
      </c>
      <c r="B111" t="s">
        <v>17</v>
      </c>
      <c r="C111" t="s">
        <v>14</v>
      </c>
      <c r="D111" t="s">
        <v>25</v>
      </c>
      <c r="E111" s="1">
        <v>0.54166666666666663</v>
      </c>
      <c r="F111" t="s">
        <v>27</v>
      </c>
      <c r="G111">
        <v>489.6</v>
      </c>
      <c r="H111">
        <v>32.6</v>
      </c>
      <c r="I111">
        <v>51</v>
      </c>
      <c r="J111">
        <v>14.3</v>
      </c>
      <c r="K111">
        <v>6.1</v>
      </c>
      <c r="L111">
        <v>60</v>
      </c>
      <c r="M111" t="str">
        <f t="shared" si="2"/>
        <v/>
      </c>
      <c r="N111">
        <f t="shared" si="3"/>
        <v>489.6</v>
      </c>
    </row>
    <row r="112" spans="1:14" x14ac:dyDescent="0.35">
      <c r="A112" t="s">
        <v>24</v>
      </c>
      <c r="B112" t="s">
        <v>18</v>
      </c>
      <c r="C112" t="s">
        <v>11</v>
      </c>
      <c r="D112" t="s">
        <v>25</v>
      </c>
      <c r="E112" s="1">
        <v>0.54166666666666663</v>
      </c>
      <c r="F112" t="s">
        <v>26</v>
      </c>
      <c r="G112">
        <v>428.4</v>
      </c>
      <c r="H112">
        <v>18.399999999999999</v>
      </c>
      <c r="I112">
        <v>45.9</v>
      </c>
      <c r="J112">
        <v>12.2</v>
      </c>
      <c r="K112">
        <v>8.1999999999999993</v>
      </c>
      <c r="L112">
        <v>57</v>
      </c>
      <c r="M112">
        <f t="shared" si="2"/>
        <v>428.4</v>
      </c>
      <c r="N112" t="str">
        <f t="shared" si="3"/>
        <v/>
      </c>
    </row>
    <row r="113" spans="1:14" x14ac:dyDescent="0.35">
      <c r="A113" t="s">
        <v>24</v>
      </c>
      <c r="B113" t="s">
        <v>18</v>
      </c>
      <c r="C113" t="s">
        <v>14</v>
      </c>
      <c r="D113" t="s">
        <v>25</v>
      </c>
      <c r="E113" s="1">
        <v>0.54166666666666663</v>
      </c>
      <c r="F113" t="s">
        <v>27</v>
      </c>
      <c r="G113">
        <v>489.6</v>
      </c>
      <c r="H113">
        <v>32.6</v>
      </c>
      <c r="I113">
        <v>51</v>
      </c>
      <c r="J113">
        <v>14.3</v>
      </c>
      <c r="K113">
        <v>6.1</v>
      </c>
      <c r="L113">
        <v>59</v>
      </c>
      <c r="M113" t="str">
        <f t="shared" si="2"/>
        <v/>
      </c>
      <c r="N113">
        <f t="shared" si="3"/>
        <v>489.6</v>
      </c>
    </row>
    <row r="114" spans="1:14" x14ac:dyDescent="0.35">
      <c r="A114" t="s">
        <v>9</v>
      </c>
      <c r="B114" t="s">
        <v>10</v>
      </c>
      <c r="C114" t="s">
        <v>11</v>
      </c>
      <c r="D114" t="s">
        <v>28</v>
      </c>
      <c r="E114" s="1">
        <v>0.66666666666666663</v>
      </c>
      <c r="F114" t="s">
        <v>29</v>
      </c>
      <c r="G114">
        <v>240</v>
      </c>
      <c r="H114">
        <v>14.4</v>
      </c>
      <c r="I114">
        <v>19.2</v>
      </c>
      <c r="J114">
        <v>7.7</v>
      </c>
      <c r="K114">
        <v>5.8</v>
      </c>
      <c r="L114">
        <v>40</v>
      </c>
      <c r="M114">
        <f t="shared" si="2"/>
        <v>240</v>
      </c>
      <c r="N114" t="str">
        <f t="shared" si="3"/>
        <v/>
      </c>
    </row>
    <row r="115" spans="1:14" x14ac:dyDescent="0.35">
      <c r="A115" t="s">
        <v>9</v>
      </c>
      <c r="B115" t="s">
        <v>10</v>
      </c>
      <c r="C115" t="s">
        <v>14</v>
      </c>
      <c r="D115" t="s">
        <v>28</v>
      </c>
      <c r="E115" s="1">
        <v>0.66666666666666663</v>
      </c>
      <c r="F115" t="s">
        <v>30</v>
      </c>
      <c r="G115">
        <v>259.2</v>
      </c>
      <c r="H115">
        <v>17.3</v>
      </c>
      <c r="I115">
        <v>9.6</v>
      </c>
      <c r="J115">
        <v>14.4</v>
      </c>
      <c r="K115">
        <v>3.8</v>
      </c>
      <c r="L115">
        <v>45</v>
      </c>
      <c r="M115" t="str">
        <f t="shared" si="2"/>
        <v/>
      </c>
      <c r="N115">
        <f t="shared" si="3"/>
        <v>259.2</v>
      </c>
    </row>
    <row r="116" spans="1:14" x14ac:dyDescent="0.35">
      <c r="A116" t="s">
        <v>9</v>
      </c>
      <c r="B116" t="s">
        <v>16</v>
      </c>
      <c r="C116" t="s">
        <v>11</v>
      </c>
      <c r="D116" t="s">
        <v>28</v>
      </c>
      <c r="E116" s="1">
        <v>0.66666666666666663</v>
      </c>
      <c r="F116" t="s">
        <v>29</v>
      </c>
      <c r="G116">
        <v>240</v>
      </c>
      <c r="H116">
        <v>14.4</v>
      </c>
      <c r="I116">
        <v>19.2</v>
      </c>
      <c r="J116">
        <v>7.7</v>
      </c>
      <c r="K116">
        <v>5.8</v>
      </c>
      <c r="L116">
        <v>46</v>
      </c>
      <c r="M116">
        <f t="shared" si="2"/>
        <v>240</v>
      </c>
      <c r="N116" t="str">
        <f t="shared" si="3"/>
        <v/>
      </c>
    </row>
    <row r="117" spans="1:14" x14ac:dyDescent="0.35">
      <c r="A117" t="s">
        <v>9</v>
      </c>
      <c r="B117" t="s">
        <v>16</v>
      </c>
      <c r="C117" t="s">
        <v>14</v>
      </c>
      <c r="D117" t="s">
        <v>28</v>
      </c>
      <c r="E117" s="1">
        <v>0.66666666666666663</v>
      </c>
      <c r="F117" t="s">
        <v>30</v>
      </c>
      <c r="G117">
        <v>259.2</v>
      </c>
      <c r="H117">
        <v>17.3</v>
      </c>
      <c r="I117">
        <v>9.6</v>
      </c>
      <c r="J117">
        <v>14.4</v>
      </c>
      <c r="K117">
        <v>3.8</v>
      </c>
      <c r="L117">
        <v>50</v>
      </c>
      <c r="M117" t="str">
        <f t="shared" si="2"/>
        <v/>
      </c>
      <c r="N117">
        <f t="shared" si="3"/>
        <v>259.2</v>
      </c>
    </row>
    <row r="118" spans="1:14" x14ac:dyDescent="0.35">
      <c r="A118" t="s">
        <v>9</v>
      </c>
      <c r="B118" t="s">
        <v>17</v>
      </c>
      <c r="C118" t="s">
        <v>11</v>
      </c>
      <c r="D118" t="s">
        <v>28</v>
      </c>
      <c r="E118" s="1">
        <v>0.66666666666666663</v>
      </c>
      <c r="F118" t="s">
        <v>29</v>
      </c>
      <c r="G118">
        <v>240</v>
      </c>
      <c r="H118">
        <v>14.4</v>
      </c>
      <c r="I118">
        <v>19.2</v>
      </c>
      <c r="J118">
        <v>7.7</v>
      </c>
      <c r="K118">
        <v>5.8</v>
      </c>
      <c r="L118">
        <v>57</v>
      </c>
      <c r="M118">
        <f t="shared" si="2"/>
        <v>240</v>
      </c>
      <c r="N118" t="str">
        <f t="shared" si="3"/>
        <v/>
      </c>
    </row>
    <row r="119" spans="1:14" x14ac:dyDescent="0.35">
      <c r="A119" t="s">
        <v>9</v>
      </c>
      <c r="B119" t="s">
        <v>17</v>
      </c>
      <c r="C119" t="s">
        <v>14</v>
      </c>
      <c r="D119" t="s">
        <v>28</v>
      </c>
      <c r="E119" s="1">
        <v>0.66666666666666663</v>
      </c>
      <c r="F119" t="s">
        <v>30</v>
      </c>
      <c r="G119">
        <v>259.2</v>
      </c>
      <c r="H119">
        <v>17.3</v>
      </c>
      <c r="I119">
        <v>9.6</v>
      </c>
      <c r="J119">
        <v>14.4</v>
      </c>
      <c r="K119">
        <v>3.8</v>
      </c>
      <c r="L119">
        <v>60</v>
      </c>
      <c r="M119" t="str">
        <f t="shared" si="2"/>
        <v/>
      </c>
      <c r="N119">
        <f t="shared" si="3"/>
        <v>259.2</v>
      </c>
    </row>
    <row r="120" spans="1:14" x14ac:dyDescent="0.35">
      <c r="A120" t="s">
        <v>9</v>
      </c>
      <c r="B120" t="s">
        <v>18</v>
      </c>
      <c r="C120" t="s">
        <v>11</v>
      </c>
      <c r="D120" t="s">
        <v>28</v>
      </c>
      <c r="E120" s="1">
        <v>0.66666666666666663</v>
      </c>
      <c r="F120" t="s">
        <v>29</v>
      </c>
      <c r="G120">
        <v>240</v>
      </c>
      <c r="H120">
        <v>14.4</v>
      </c>
      <c r="I120">
        <v>19.2</v>
      </c>
      <c r="J120">
        <v>7.7</v>
      </c>
      <c r="K120">
        <v>5.8</v>
      </c>
      <c r="L120">
        <v>52</v>
      </c>
      <c r="M120">
        <f t="shared" si="2"/>
        <v>240</v>
      </c>
      <c r="N120" t="str">
        <f t="shared" si="3"/>
        <v/>
      </c>
    </row>
    <row r="121" spans="1:14" x14ac:dyDescent="0.35">
      <c r="A121" t="s">
        <v>9</v>
      </c>
      <c r="B121" t="s">
        <v>18</v>
      </c>
      <c r="C121" t="s">
        <v>14</v>
      </c>
      <c r="D121" t="s">
        <v>28</v>
      </c>
      <c r="E121" s="1">
        <v>0.66666666666666663</v>
      </c>
      <c r="F121" t="s">
        <v>30</v>
      </c>
      <c r="G121">
        <v>259.2</v>
      </c>
      <c r="H121">
        <v>17.3</v>
      </c>
      <c r="I121">
        <v>9.6</v>
      </c>
      <c r="J121">
        <v>14.4</v>
      </c>
      <c r="K121">
        <v>3.8</v>
      </c>
      <c r="L121">
        <v>55</v>
      </c>
      <c r="M121" t="str">
        <f t="shared" si="2"/>
        <v/>
      </c>
      <c r="N121">
        <f t="shared" si="3"/>
        <v>259.2</v>
      </c>
    </row>
    <row r="122" spans="1:14" x14ac:dyDescent="0.35">
      <c r="A122" t="s">
        <v>19</v>
      </c>
      <c r="B122" t="s">
        <v>10</v>
      </c>
      <c r="C122" t="s">
        <v>11</v>
      </c>
      <c r="D122" t="s">
        <v>28</v>
      </c>
      <c r="E122" s="1">
        <v>0.66666666666666663</v>
      </c>
      <c r="F122" t="s">
        <v>29</v>
      </c>
      <c r="G122">
        <v>242.5</v>
      </c>
      <c r="H122">
        <v>14.5</v>
      </c>
      <c r="I122">
        <v>19.399999999999999</v>
      </c>
      <c r="J122">
        <v>7.8</v>
      </c>
      <c r="K122">
        <v>5.8</v>
      </c>
      <c r="L122">
        <v>40</v>
      </c>
      <c r="M122">
        <f t="shared" si="2"/>
        <v>242.5</v>
      </c>
      <c r="N122" t="str">
        <f t="shared" si="3"/>
        <v/>
      </c>
    </row>
    <row r="123" spans="1:14" x14ac:dyDescent="0.35">
      <c r="A123" t="s">
        <v>19</v>
      </c>
      <c r="B123" t="s">
        <v>10</v>
      </c>
      <c r="C123" t="s">
        <v>14</v>
      </c>
      <c r="D123" t="s">
        <v>28</v>
      </c>
      <c r="E123" s="1">
        <v>0.66666666666666663</v>
      </c>
      <c r="F123" t="s">
        <v>30</v>
      </c>
      <c r="G123">
        <v>261.89999999999998</v>
      </c>
      <c r="H123">
        <v>17.5</v>
      </c>
      <c r="I123">
        <v>9.6999999999999993</v>
      </c>
      <c r="J123">
        <v>14.5</v>
      </c>
      <c r="K123">
        <v>3.9</v>
      </c>
      <c r="L123">
        <v>43</v>
      </c>
      <c r="M123" t="str">
        <f t="shared" si="2"/>
        <v/>
      </c>
      <c r="N123">
        <f t="shared" si="3"/>
        <v>261.89999999999998</v>
      </c>
    </row>
    <row r="124" spans="1:14" x14ac:dyDescent="0.35">
      <c r="A124" t="s">
        <v>19</v>
      </c>
      <c r="B124" t="s">
        <v>16</v>
      </c>
      <c r="C124" t="s">
        <v>11</v>
      </c>
      <c r="D124" t="s">
        <v>28</v>
      </c>
      <c r="E124" s="1">
        <v>0.66666666666666663</v>
      </c>
      <c r="F124" t="s">
        <v>29</v>
      </c>
      <c r="G124">
        <v>242.5</v>
      </c>
      <c r="H124">
        <v>14.5</v>
      </c>
      <c r="I124">
        <v>19.399999999999999</v>
      </c>
      <c r="J124">
        <v>7.8</v>
      </c>
      <c r="K124">
        <v>5.8</v>
      </c>
      <c r="L124">
        <v>42</v>
      </c>
      <c r="M124">
        <f t="shared" si="2"/>
        <v>242.5</v>
      </c>
      <c r="N124" t="str">
        <f t="shared" si="3"/>
        <v/>
      </c>
    </row>
    <row r="125" spans="1:14" x14ac:dyDescent="0.35">
      <c r="A125" t="s">
        <v>19</v>
      </c>
      <c r="B125" t="s">
        <v>16</v>
      </c>
      <c r="C125" t="s">
        <v>14</v>
      </c>
      <c r="D125" t="s">
        <v>28</v>
      </c>
      <c r="E125" s="1">
        <v>0.66666666666666663</v>
      </c>
      <c r="F125" t="s">
        <v>30</v>
      </c>
      <c r="G125">
        <v>261.89999999999998</v>
      </c>
      <c r="H125">
        <v>17.5</v>
      </c>
      <c r="I125">
        <v>9.6999999999999993</v>
      </c>
      <c r="J125">
        <v>14.5</v>
      </c>
      <c r="K125">
        <v>3.9</v>
      </c>
      <c r="L125">
        <v>46</v>
      </c>
      <c r="M125" t="str">
        <f t="shared" si="2"/>
        <v/>
      </c>
      <c r="N125">
        <f t="shared" si="3"/>
        <v>261.89999999999998</v>
      </c>
    </row>
    <row r="126" spans="1:14" x14ac:dyDescent="0.35">
      <c r="A126" t="s">
        <v>19</v>
      </c>
      <c r="B126" t="s">
        <v>17</v>
      </c>
      <c r="C126" t="s">
        <v>11</v>
      </c>
      <c r="D126" t="s">
        <v>28</v>
      </c>
      <c r="E126" s="1">
        <v>0.66666666666666663</v>
      </c>
      <c r="F126" t="s">
        <v>29</v>
      </c>
      <c r="G126">
        <v>242.5</v>
      </c>
      <c r="H126">
        <v>14.5</v>
      </c>
      <c r="I126">
        <v>19.399999999999999</v>
      </c>
      <c r="J126">
        <v>7.8</v>
      </c>
      <c r="K126">
        <v>5.8</v>
      </c>
      <c r="L126">
        <v>50</v>
      </c>
      <c r="M126">
        <f t="shared" si="2"/>
        <v>242.5</v>
      </c>
      <c r="N126" t="str">
        <f t="shared" si="3"/>
        <v/>
      </c>
    </row>
    <row r="127" spans="1:14" x14ac:dyDescent="0.35">
      <c r="A127" t="s">
        <v>19</v>
      </c>
      <c r="B127" t="s">
        <v>17</v>
      </c>
      <c r="C127" t="s">
        <v>14</v>
      </c>
      <c r="D127" t="s">
        <v>28</v>
      </c>
      <c r="E127" s="1">
        <v>0.66666666666666663</v>
      </c>
      <c r="F127" t="s">
        <v>30</v>
      </c>
      <c r="G127">
        <v>261.89999999999998</v>
      </c>
      <c r="H127">
        <v>17.5</v>
      </c>
      <c r="I127">
        <v>9.6999999999999993</v>
      </c>
      <c r="J127">
        <v>14.5</v>
      </c>
      <c r="K127">
        <v>3.9</v>
      </c>
      <c r="L127">
        <v>58</v>
      </c>
      <c r="M127" t="str">
        <f t="shared" si="2"/>
        <v/>
      </c>
      <c r="N127">
        <f t="shared" si="3"/>
        <v>261.89999999999998</v>
      </c>
    </row>
    <row r="128" spans="1:14" x14ac:dyDescent="0.35">
      <c r="A128" t="s">
        <v>19</v>
      </c>
      <c r="B128" t="s">
        <v>18</v>
      </c>
      <c r="C128" t="s">
        <v>11</v>
      </c>
      <c r="D128" t="s">
        <v>28</v>
      </c>
      <c r="E128" s="1">
        <v>0.66666666666666663</v>
      </c>
      <c r="F128" t="s">
        <v>29</v>
      </c>
      <c r="G128">
        <v>242.5</v>
      </c>
      <c r="H128">
        <v>14.5</v>
      </c>
      <c r="I128">
        <v>19.399999999999999</v>
      </c>
      <c r="J128">
        <v>7.8</v>
      </c>
      <c r="K128">
        <v>5.8</v>
      </c>
      <c r="L128">
        <v>50</v>
      </c>
      <c r="M128">
        <f t="shared" si="2"/>
        <v>242.5</v>
      </c>
      <c r="N128" t="str">
        <f t="shared" si="3"/>
        <v/>
      </c>
    </row>
    <row r="129" spans="1:14" x14ac:dyDescent="0.35">
      <c r="A129" t="s">
        <v>19</v>
      </c>
      <c r="B129" t="s">
        <v>18</v>
      </c>
      <c r="C129" t="s">
        <v>14</v>
      </c>
      <c r="D129" t="s">
        <v>28</v>
      </c>
      <c r="E129" s="1">
        <v>0.66666666666666663</v>
      </c>
      <c r="F129" t="s">
        <v>30</v>
      </c>
      <c r="G129">
        <v>261.89999999999998</v>
      </c>
      <c r="H129">
        <v>17.5</v>
      </c>
      <c r="I129">
        <v>9.6999999999999993</v>
      </c>
      <c r="J129">
        <v>14.5</v>
      </c>
      <c r="K129">
        <v>3.9</v>
      </c>
      <c r="L129">
        <v>54</v>
      </c>
      <c r="M129" t="str">
        <f t="shared" si="2"/>
        <v/>
      </c>
      <c r="N129">
        <f t="shared" si="3"/>
        <v>261.89999999999998</v>
      </c>
    </row>
    <row r="130" spans="1:14" x14ac:dyDescent="0.35">
      <c r="A130" t="s">
        <v>20</v>
      </c>
      <c r="B130" t="s">
        <v>10</v>
      </c>
      <c r="C130" t="s">
        <v>11</v>
      </c>
      <c r="D130" t="s">
        <v>28</v>
      </c>
      <c r="E130" s="1">
        <v>0.66666666666666663</v>
      </c>
      <c r="F130" t="s">
        <v>29</v>
      </c>
      <c r="G130">
        <v>245</v>
      </c>
      <c r="H130">
        <v>14.7</v>
      </c>
      <c r="I130">
        <v>19.600000000000001</v>
      </c>
      <c r="J130">
        <v>7.8</v>
      </c>
      <c r="K130">
        <v>5.9</v>
      </c>
      <c r="L130">
        <v>38</v>
      </c>
      <c r="M130">
        <f t="shared" si="2"/>
        <v>245</v>
      </c>
      <c r="N130" t="str">
        <f t="shared" si="3"/>
        <v/>
      </c>
    </row>
    <row r="131" spans="1:14" x14ac:dyDescent="0.35">
      <c r="A131" t="s">
        <v>20</v>
      </c>
      <c r="B131" t="s">
        <v>10</v>
      </c>
      <c r="C131" t="s">
        <v>14</v>
      </c>
      <c r="D131" t="s">
        <v>28</v>
      </c>
      <c r="E131" s="1">
        <v>0.66666666666666663</v>
      </c>
      <c r="F131" t="s">
        <v>30</v>
      </c>
      <c r="G131">
        <v>264.60000000000002</v>
      </c>
      <c r="H131">
        <v>17.600000000000001</v>
      </c>
      <c r="I131">
        <v>9.8000000000000007</v>
      </c>
      <c r="J131">
        <v>14.7</v>
      </c>
      <c r="K131">
        <v>3.9</v>
      </c>
      <c r="L131">
        <v>40</v>
      </c>
      <c r="M131" t="str">
        <f t="shared" ref="M131:M194" si="4">IF(C131="Veg",G131,"")</f>
        <v/>
      </c>
      <c r="N131">
        <f t="shared" si="3"/>
        <v>264.60000000000002</v>
      </c>
    </row>
    <row r="132" spans="1:14" x14ac:dyDescent="0.35">
      <c r="A132" t="s">
        <v>20</v>
      </c>
      <c r="B132" t="s">
        <v>16</v>
      </c>
      <c r="C132" t="s">
        <v>11</v>
      </c>
      <c r="D132" t="s">
        <v>28</v>
      </c>
      <c r="E132" s="1">
        <v>0.66666666666666663</v>
      </c>
      <c r="F132" t="s">
        <v>29</v>
      </c>
      <c r="G132">
        <v>245</v>
      </c>
      <c r="H132">
        <v>14.7</v>
      </c>
      <c r="I132">
        <v>19.600000000000001</v>
      </c>
      <c r="J132">
        <v>7.8</v>
      </c>
      <c r="K132">
        <v>5.9</v>
      </c>
      <c r="L132">
        <v>42</v>
      </c>
      <c r="M132">
        <f t="shared" si="4"/>
        <v>245</v>
      </c>
      <c r="N132" t="str">
        <f t="shared" ref="N132:N195" si="5">IF(C132="Non-Veg",G132,"")</f>
        <v/>
      </c>
    </row>
    <row r="133" spans="1:14" x14ac:dyDescent="0.35">
      <c r="A133" t="s">
        <v>20</v>
      </c>
      <c r="B133" t="s">
        <v>16</v>
      </c>
      <c r="C133" t="s">
        <v>14</v>
      </c>
      <c r="D133" t="s">
        <v>28</v>
      </c>
      <c r="E133" s="1">
        <v>0.66666666666666663</v>
      </c>
      <c r="F133" t="s">
        <v>30</v>
      </c>
      <c r="G133">
        <v>264.60000000000002</v>
      </c>
      <c r="H133">
        <v>17.600000000000001</v>
      </c>
      <c r="I133">
        <v>9.8000000000000007</v>
      </c>
      <c r="J133">
        <v>14.7</v>
      </c>
      <c r="K133">
        <v>3.9</v>
      </c>
      <c r="L133">
        <v>48</v>
      </c>
      <c r="M133" t="str">
        <f t="shared" si="4"/>
        <v/>
      </c>
      <c r="N133">
        <f t="shared" si="5"/>
        <v>264.60000000000002</v>
      </c>
    </row>
    <row r="134" spans="1:14" x14ac:dyDescent="0.35">
      <c r="A134" t="s">
        <v>20</v>
      </c>
      <c r="B134" t="s">
        <v>17</v>
      </c>
      <c r="C134" t="s">
        <v>11</v>
      </c>
      <c r="D134" t="s">
        <v>28</v>
      </c>
      <c r="E134" s="1">
        <v>0.66666666666666663</v>
      </c>
      <c r="F134" t="s">
        <v>29</v>
      </c>
      <c r="G134">
        <v>245</v>
      </c>
      <c r="H134">
        <v>14.7</v>
      </c>
      <c r="I134">
        <v>19.600000000000001</v>
      </c>
      <c r="J134">
        <v>7.8</v>
      </c>
      <c r="K134">
        <v>5.9</v>
      </c>
      <c r="L134">
        <v>53</v>
      </c>
      <c r="M134">
        <f t="shared" si="4"/>
        <v>245</v>
      </c>
      <c r="N134" t="str">
        <f t="shared" si="5"/>
        <v/>
      </c>
    </row>
    <row r="135" spans="1:14" x14ac:dyDescent="0.35">
      <c r="A135" t="s">
        <v>20</v>
      </c>
      <c r="B135" t="s">
        <v>17</v>
      </c>
      <c r="C135" t="s">
        <v>14</v>
      </c>
      <c r="D135" t="s">
        <v>28</v>
      </c>
      <c r="E135" s="1">
        <v>0.66666666666666663</v>
      </c>
      <c r="F135" t="s">
        <v>30</v>
      </c>
      <c r="G135">
        <v>264.60000000000002</v>
      </c>
      <c r="H135">
        <v>17.600000000000001</v>
      </c>
      <c r="I135">
        <v>9.8000000000000007</v>
      </c>
      <c r="J135">
        <v>14.7</v>
      </c>
      <c r="K135">
        <v>3.9</v>
      </c>
      <c r="L135">
        <v>57</v>
      </c>
      <c r="M135" t="str">
        <f t="shared" si="4"/>
        <v/>
      </c>
      <c r="N135">
        <f t="shared" si="5"/>
        <v>264.60000000000002</v>
      </c>
    </row>
    <row r="136" spans="1:14" x14ac:dyDescent="0.35">
      <c r="A136" t="s">
        <v>20</v>
      </c>
      <c r="B136" t="s">
        <v>18</v>
      </c>
      <c r="C136" t="s">
        <v>11</v>
      </c>
      <c r="D136" t="s">
        <v>28</v>
      </c>
      <c r="E136" s="1">
        <v>0.66666666666666663</v>
      </c>
      <c r="F136" t="s">
        <v>29</v>
      </c>
      <c r="G136">
        <v>245</v>
      </c>
      <c r="H136">
        <v>14.7</v>
      </c>
      <c r="I136">
        <v>19.600000000000001</v>
      </c>
      <c r="J136">
        <v>7.8</v>
      </c>
      <c r="K136">
        <v>5.9</v>
      </c>
      <c r="L136">
        <v>50</v>
      </c>
      <c r="M136">
        <f t="shared" si="4"/>
        <v>245</v>
      </c>
      <c r="N136" t="str">
        <f t="shared" si="5"/>
        <v/>
      </c>
    </row>
    <row r="137" spans="1:14" x14ac:dyDescent="0.35">
      <c r="A137" t="s">
        <v>20</v>
      </c>
      <c r="B137" t="s">
        <v>18</v>
      </c>
      <c r="C137" t="s">
        <v>14</v>
      </c>
      <c r="D137" t="s">
        <v>28</v>
      </c>
      <c r="E137" s="1">
        <v>0.66666666666666663</v>
      </c>
      <c r="F137" t="s">
        <v>30</v>
      </c>
      <c r="G137">
        <v>264.60000000000002</v>
      </c>
      <c r="H137">
        <v>17.600000000000001</v>
      </c>
      <c r="I137">
        <v>9.8000000000000007</v>
      </c>
      <c r="J137">
        <v>14.7</v>
      </c>
      <c r="K137">
        <v>3.9</v>
      </c>
      <c r="L137">
        <v>52</v>
      </c>
      <c r="M137" t="str">
        <f t="shared" si="4"/>
        <v/>
      </c>
      <c r="N137">
        <f t="shared" si="5"/>
        <v>264.60000000000002</v>
      </c>
    </row>
    <row r="138" spans="1:14" x14ac:dyDescent="0.35">
      <c r="A138" t="s">
        <v>21</v>
      </c>
      <c r="B138" t="s">
        <v>10</v>
      </c>
      <c r="C138" t="s">
        <v>11</v>
      </c>
      <c r="D138" t="s">
        <v>28</v>
      </c>
      <c r="E138" s="1">
        <v>0.66666666666666663</v>
      </c>
      <c r="F138" t="s">
        <v>29</v>
      </c>
      <c r="G138">
        <v>247.5</v>
      </c>
      <c r="H138">
        <v>14.8</v>
      </c>
      <c r="I138">
        <v>19.8</v>
      </c>
      <c r="J138">
        <v>7.9</v>
      </c>
      <c r="K138">
        <v>5.9</v>
      </c>
      <c r="L138">
        <v>36</v>
      </c>
      <c r="M138">
        <f t="shared" si="4"/>
        <v>247.5</v>
      </c>
      <c r="N138" t="str">
        <f t="shared" si="5"/>
        <v/>
      </c>
    </row>
    <row r="139" spans="1:14" x14ac:dyDescent="0.35">
      <c r="A139" t="s">
        <v>21</v>
      </c>
      <c r="B139" t="s">
        <v>10</v>
      </c>
      <c r="C139" t="s">
        <v>14</v>
      </c>
      <c r="D139" t="s">
        <v>28</v>
      </c>
      <c r="E139" s="1">
        <v>0.66666666666666663</v>
      </c>
      <c r="F139" t="s">
        <v>30</v>
      </c>
      <c r="G139">
        <v>267.3</v>
      </c>
      <c r="H139">
        <v>17.8</v>
      </c>
      <c r="I139">
        <v>9.9</v>
      </c>
      <c r="J139">
        <v>14.8</v>
      </c>
      <c r="K139">
        <v>4</v>
      </c>
      <c r="L139">
        <v>42</v>
      </c>
      <c r="M139" t="str">
        <f t="shared" si="4"/>
        <v/>
      </c>
      <c r="N139">
        <f t="shared" si="5"/>
        <v>267.3</v>
      </c>
    </row>
    <row r="140" spans="1:14" x14ac:dyDescent="0.35">
      <c r="A140" t="s">
        <v>21</v>
      </c>
      <c r="B140" t="s">
        <v>16</v>
      </c>
      <c r="C140" t="s">
        <v>11</v>
      </c>
      <c r="D140" t="s">
        <v>28</v>
      </c>
      <c r="E140" s="1">
        <v>0.66666666666666663</v>
      </c>
      <c r="F140" t="s">
        <v>29</v>
      </c>
      <c r="G140">
        <v>247.5</v>
      </c>
      <c r="H140">
        <v>14.8</v>
      </c>
      <c r="I140">
        <v>19.8</v>
      </c>
      <c r="J140">
        <v>7.9</v>
      </c>
      <c r="K140">
        <v>5.9</v>
      </c>
      <c r="L140">
        <v>40</v>
      </c>
      <c r="M140">
        <f t="shared" si="4"/>
        <v>247.5</v>
      </c>
      <c r="N140" t="str">
        <f t="shared" si="5"/>
        <v/>
      </c>
    </row>
    <row r="141" spans="1:14" x14ac:dyDescent="0.35">
      <c r="A141" t="s">
        <v>21</v>
      </c>
      <c r="B141" t="s">
        <v>16</v>
      </c>
      <c r="C141" t="s">
        <v>14</v>
      </c>
      <c r="D141" t="s">
        <v>28</v>
      </c>
      <c r="E141" s="1">
        <v>0.66666666666666663</v>
      </c>
      <c r="F141" t="s">
        <v>30</v>
      </c>
      <c r="G141">
        <v>267.3</v>
      </c>
      <c r="H141">
        <v>17.8</v>
      </c>
      <c r="I141">
        <v>9.9</v>
      </c>
      <c r="J141">
        <v>14.8</v>
      </c>
      <c r="K141">
        <v>4</v>
      </c>
      <c r="L141">
        <v>45</v>
      </c>
      <c r="M141" t="str">
        <f t="shared" si="4"/>
        <v/>
      </c>
      <c r="N141">
        <f t="shared" si="5"/>
        <v>267.3</v>
      </c>
    </row>
    <row r="142" spans="1:14" x14ac:dyDescent="0.35">
      <c r="A142" t="s">
        <v>21</v>
      </c>
      <c r="B142" t="s">
        <v>17</v>
      </c>
      <c r="C142" t="s">
        <v>11</v>
      </c>
      <c r="D142" t="s">
        <v>28</v>
      </c>
      <c r="E142" s="1">
        <v>0.66666666666666663</v>
      </c>
      <c r="F142" t="s">
        <v>29</v>
      </c>
      <c r="G142">
        <v>247.5</v>
      </c>
      <c r="H142">
        <v>14.8</v>
      </c>
      <c r="I142">
        <v>19.8</v>
      </c>
      <c r="J142">
        <v>7.9</v>
      </c>
      <c r="K142">
        <v>5.9</v>
      </c>
      <c r="L142">
        <v>46</v>
      </c>
      <c r="M142">
        <f t="shared" si="4"/>
        <v>247.5</v>
      </c>
      <c r="N142" t="str">
        <f t="shared" si="5"/>
        <v/>
      </c>
    </row>
    <row r="143" spans="1:14" x14ac:dyDescent="0.35">
      <c r="A143" t="s">
        <v>21</v>
      </c>
      <c r="B143" t="s">
        <v>17</v>
      </c>
      <c r="C143" t="s">
        <v>14</v>
      </c>
      <c r="D143" t="s">
        <v>28</v>
      </c>
      <c r="E143" s="1">
        <v>0.66666666666666663</v>
      </c>
      <c r="F143" t="s">
        <v>30</v>
      </c>
      <c r="G143">
        <v>267.3</v>
      </c>
      <c r="H143">
        <v>17.8</v>
      </c>
      <c r="I143">
        <v>9.9</v>
      </c>
      <c r="J143">
        <v>14.8</v>
      </c>
      <c r="K143">
        <v>4</v>
      </c>
      <c r="L143">
        <v>47</v>
      </c>
      <c r="M143" t="str">
        <f t="shared" si="4"/>
        <v/>
      </c>
      <c r="N143">
        <f t="shared" si="5"/>
        <v>267.3</v>
      </c>
    </row>
    <row r="144" spans="1:14" x14ac:dyDescent="0.35">
      <c r="A144" t="s">
        <v>21</v>
      </c>
      <c r="B144" t="s">
        <v>18</v>
      </c>
      <c r="C144" t="s">
        <v>11</v>
      </c>
      <c r="D144" t="s">
        <v>28</v>
      </c>
      <c r="E144" s="1">
        <v>0.66666666666666663</v>
      </c>
      <c r="F144" t="s">
        <v>29</v>
      </c>
      <c r="G144">
        <v>247.5</v>
      </c>
      <c r="H144">
        <v>14.8</v>
      </c>
      <c r="I144">
        <v>19.8</v>
      </c>
      <c r="J144">
        <v>7.9</v>
      </c>
      <c r="K144">
        <v>5.9</v>
      </c>
      <c r="L144">
        <v>49</v>
      </c>
      <c r="M144">
        <f t="shared" si="4"/>
        <v>247.5</v>
      </c>
      <c r="N144" t="str">
        <f t="shared" si="5"/>
        <v/>
      </c>
    </row>
    <row r="145" spans="1:14" x14ac:dyDescent="0.35">
      <c r="A145" t="s">
        <v>21</v>
      </c>
      <c r="B145" t="s">
        <v>18</v>
      </c>
      <c r="C145" t="s">
        <v>14</v>
      </c>
      <c r="D145" t="s">
        <v>28</v>
      </c>
      <c r="E145" s="1">
        <v>0.66666666666666663</v>
      </c>
      <c r="F145" t="s">
        <v>30</v>
      </c>
      <c r="G145">
        <v>267.3</v>
      </c>
      <c r="H145">
        <v>17.8</v>
      </c>
      <c r="I145">
        <v>9.9</v>
      </c>
      <c r="J145">
        <v>14.8</v>
      </c>
      <c r="K145">
        <v>4</v>
      </c>
      <c r="L145">
        <v>50</v>
      </c>
      <c r="M145" t="str">
        <f t="shared" si="4"/>
        <v/>
      </c>
      <c r="N145">
        <f t="shared" si="5"/>
        <v>267.3</v>
      </c>
    </row>
    <row r="146" spans="1:14" x14ac:dyDescent="0.35">
      <c r="A146" t="s">
        <v>22</v>
      </c>
      <c r="B146" t="s">
        <v>10</v>
      </c>
      <c r="C146" t="s">
        <v>11</v>
      </c>
      <c r="D146" t="s">
        <v>28</v>
      </c>
      <c r="E146" s="1">
        <v>0.66666666666666663</v>
      </c>
      <c r="F146" t="s">
        <v>29</v>
      </c>
      <c r="G146">
        <v>250</v>
      </c>
      <c r="H146">
        <v>15</v>
      </c>
      <c r="I146">
        <v>20</v>
      </c>
      <c r="J146">
        <v>8</v>
      </c>
      <c r="K146">
        <v>6</v>
      </c>
      <c r="L146">
        <v>40</v>
      </c>
      <c r="M146">
        <f t="shared" si="4"/>
        <v>250</v>
      </c>
      <c r="N146" t="str">
        <f t="shared" si="5"/>
        <v/>
      </c>
    </row>
    <row r="147" spans="1:14" x14ac:dyDescent="0.35">
      <c r="A147" t="s">
        <v>22</v>
      </c>
      <c r="B147" t="s">
        <v>10</v>
      </c>
      <c r="C147" t="s">
        <v>14</v>
      </c>
      <c r="D147" t="s">
        <v>28</v>
      </c>
      <c r="E147" s="1">
        <v>0.66666666666666663</v>
      </c>
      <c r="F147" t="s">
        <v>30</v>
      </c>
      <c r="G147">
        <v>270</v>
      </c>
      <c r="H147">
        <v>18</v>
      </c>
      <c r="I147">
        <v>10</v>
      </c>
      <c r="J147">
        <v>15</v>
      </c>
      <c r="K147">
        <v>4</v>
      </c>
      <c r="L147">
        <v>43</v>
      </c>
      <c r="M147" t="str">
        <f t="shared" si="4"/>
        <v/>
      </c>
      <c r="N147">
        <f t="shared" si="5"/>
        <v>270</v>
      </c>
    </row>
    <row r="148" spans="1:14" x14ac:dyDescent="0.35">
      <c r="A148" t="s">
        <v>22</v>
      </c>
      <c r="B148" t="s">
        <v>16</v>
      </c>
      <c r="C148" t="s">
        <v>11</v>
      </c>
      <c r="D148" t="s">
        <v>28</v>
      </c>
      <c r="E148" s="1">
        <v>0.66666666666666663</v>
      </c>
      <c r="F148" t="s">
        <v>29</v>
      </c>
      <c r="G148">
        <v>250</v>
      </c>
      <c r="H148">
        <v>15</v>
      </c>
      <c r="I148">
        <v>20</v>
      </c>
      <c r="J148">
        <v>8</v>
      </c>
      <c r="K148">
        <v>6</v>
      </c>
      <c r="L148">
        <v>39</v>
      </c>
      <c r="M148">
        <f t="shared" si="4"/>
        <v>250</v>
      </c>
      <c r="N148" t="str">
        <f t="shared" si="5"/>
        <v/>
      </c>
    </row>
    <row r="149" spans="1:14" x14ac:dyDescent="0.35">
      <c r="A149" t="s">
        <v>22</v>
      </c>
      <c r="B149" t="s">
        <v>16</v>
      </c>
      <c r="C149" t="s">
        <v>14</v>
      </c>
      <c r="D149" t="s">
        <v>28</v>
      </c>
      <c r="E149" s="1">
        <v>0.66666666666666663</v>
      </c>
      <c r="F149" t="s">
        <v>30</v>
      </c>
      <c r="G149">
        <v>270</v>
      </c>
      <c r="H149">
        <v>18</v>
      </c>
      <c r="I149">
        <v>10</v>
      </c>
      <c r="J149">
        <v>15</v>
      </c>
      <c r="K149">
        <v>4</v>
      </c>
      <c r="L149">
        <v>47</v>
      </c>
      <c r="M149" t="str">
        <f t="shared" si="4"/>
        <v/>
      </c>
      <c r="N149">
        <f t="shared" si="5"/>
        <v>270</v>
      </c>
    </row>
    <row r="150" spans="1:14" x14ac:dyDescent="0.35">
      <c r="A150" t="s">
        <v>22</v>
      </c>
      <c r="B150" t="s">
        <v>17</v>
      </c>
      <c r="C150" t="s">
        <v>11</v>
      </c>
      <c r="D150" t="s">
        <v>28</v>
      </c>
      <c r="E150" s="1">
        <v>0.66666666666666663</v>
      </c>
      <c r="F150" t="s">
        <v>29</v>
      </c>
      <c r="G150">
        <v>250</v>
      </c>
      <c r="H150">
        <v>15</v>
      </c>
      <c r="I150">
        <v>20</v>
      </c>
      <c r="J150">
        <v>8</v>
      </c>
      <c r="K150">
        <v>6</v>
      </c>
      <c r="L150">
        <v>47</v>
      </c>
      <c r="M150">
        <f t="shared" si="4"/>
        <v>250</v>
      </c>
      <c r="N150" t="str">
        <f t="shared" si="5"/>
        <v/>
      </c>
    </row>
    <row r="151" spans="1:14" x14ac:dyDescent="0.35">
      <c r="A151" t="s">
        <v>22</v>
      </c>
      <c r="B151" t="s">
        <v>17</v>
      </c>
      <c r="C151" t="s">
        <v>14</v>
      </c>
      <c r="D151" t="s">
        <v>28</v>
      </c>
      <c r="E151" s="1">
        <v>0.66666666666666663</v>
      </c>
      <c r="F151" t="s">
        <v>30</v>
      </c>
      <c r="G151">
        <v>270</v>
      </c>
      <c r="H151">
        <v>18</v>
      </c>
      <c r="I151">
        <v>10</v>
      </c>
      <c r="J151">
        <v>15</v>
      </c>
      <c r="K151">
        <v>4</v>
      </c>
      <c r="L151">
        <v>52</v>
      </c>
      <c r="M151" t="str">
        <f t="shared" si="4"/>
        <v/>
      </c>
      <c r="N151">
        <f t="shared" si="5"/>
        <v>270</v>
      </c>
    </row>
    <row r="152" spans="1:14" x14ac:dyDescent="0.35">
      <c r="A152" t="s">
        <v>22</v>
      </c>
      <c r="B152" t="s">
        <v>18</v>
      </c>
      <c r="C152" t="s">
        <v>11</v>
      </c>
      <c r="D152" t="s">
        <v>28</v>
      </c>
      <c r="E152" s="1">
        <v>0.66666666666666663</v>
      </c>
      <c r="F152" t="s">
        <v>29</v>
      </c>
      <c r="G152">
        <v>250</v>
      </c>
      <c r="H152">
        <v>15</v>
      </c>
      <c r="I152">
        <v>20</v>
      </c>
      <c r="J152">
        <v>8</v>
      </c>
      <c r="K152">
        <v>6</v>
      </c>
      <c r="L152">
        <v>47</v>
      </c>
      <c r="M152">
        <f t="shared" si="4"/>
        <v>250</v>
      </c>
      <c r="N152" t="str">
        <f t="shared" si="5"/>
        <v/>
      </c>
    </row>
    <row r="153" spans="1:14" x14ac:dyDescent="0.35">
      <c r="A153" t="s">
        <v>22</v>
      </c>
      <c r="B153" t="s">
        <v>18</v>
      </c>
      <c r="C153" t="s">
        <v>14</v>
      </c>
      <c r="D153" t="s">
        <v>28</v>
      </c>
      <c r="E153" s="1">
        <v>0.66666666666666663</v>
      </c>
      <c r="F153" t="s">
        <v>30</v>
      </c>
      <c r="G153">
        <v>270</v>
      </c>
      <c r="H153">
        <v>18</v>
      </c>
      <c r="I153">
        <v>10</v>
      </c>
      <c r="J153">
        <v>15</v>
      </c>
      <c r="K153">
        <v>4</v>
      </c>
      <c r="L153">
        <v>50</v>
      </c>
      <c r="M153" t="str">
        <f t="shared" si="4"/>
        <v/>
      </c>
      <c r="N153">
        <f t="shared" si="5"/>
        <v>270</v>
      </c>
    </row>
    <row r="154" spans="1:14" x14ac:dyDescent="0.35">
      <c r="A154" t="s">
        <v>23</v>
      </c>
      <c r="B154" t="s">
        <v>10</v>
      </c>
      <c r="C154" t="s">
        <v>11</v>
      </c>
      <c r="D154" t="s">
        <v>28</v>
      </c>
      <c r="E154" s="1">
        <v>0.66666666666666663</v>
      </c>
      <c r="F154" t="s">
        <v>29</v>
      </c>
      <c r="G154">
        <v>252.5</v>
      </c>
      <c r="H154">
        <v>15.2</v>
      </c>
      <c r="I154">
        <v>20.2</v>
      </c>
      <c r="J154">
        <v>8.1</v>
      </c>
      <c r="K154">
        <v>6.1</v>
      </c>
      <c r="L154">
        <v>36</v>
      </c>
      <c r="M154">
        <f t="shared" si="4"/>
        <v>252.5</v>
      </c>
      <c r="N154" t="str">
        <f t="shared" si="5"/>
        <v/>
      </c>
    </row>
    <row r="155" spans="1:14" x14ac:dyDescent="0.35">
      <c r="A155" t="s">
        <v>23</v>
      </c>
      <c r="B155" t="s">
        <v>10</v>
      </c>
      <c r="C155" t="s">
        <v>14</v>
      </c>
      <c r="D155" t="s">
        <v>28</v>
      </c>
      <c r="E155" s="1">
        <v>0.66666666666666663</v>
      </c>
      <c r="F155" t="s">
        <v>30</v>
      </c>
      <c r="G155">
        <v>272.7</v>
      </c>
      <c r="H155">
        <v>18.2</v>
      </c>
      <c r="I155">
        <v>10.1</v>
      </c>
      <c r="J155">
        <v>15.2</v>
      </c>
      <c r="K155">
        <v>4</v>
      </c>
      <c r="L155">
        <v>39</v>
      </c>
      <c r="M155" t="str">
        <f t="shared" si="4"/>
        <v/>
      </c>
      <c r="N155">
        <f t="shared" si="5"/>
        <v>272.7</v>
      </c>
    </row>
    <row r="156" spans="1:14" x14ac:dyDescent="0.35">
      <c r="A156" t="s">
        <v>23</v>
      </c>
      <c r="B156" t="s">
        <v>16</v>
      </c>
      <c r="C156" t="s">
        <v>11</v>
      </c>
      <c r="D156" t="s">
        <v>28</v>
      </c>
      <c r="E156" s="1">
        <v>0.66666666666666663</v>
      </c>
      <c r="F156" t="s">
        <v>29</v>
      </c>
      <c r="G156">
        <v>252.5</v>
      </c>
      <c r="H156">
        <v>15.2</v>
      </c>
      <c r="I156">
        <v>20.2</v>
      </c>
      <c r="J156">
        <v>8.1</v>
      </c>
      <c r="K156">
        <v>6.1</v>
      </c>
      <c r="L156">
        <v>40</v>
      </c>
      <c r="M156">
        <f t="shared" si="4"/>
        <v>252.5</v>
      </c>
      <c r="N156" t="str">
        <f t="shared" si="5"/>
        <v/>
      </c>
    </row>
    <row r="157" spans="1:14" x14ac:dyDescent="0.35">
      <c r="A157" t="s">
        <v>23</v>
      </c>
      <c r="B157" t="s">
        <v>16</v>
      </c>
      <c r="C157" t="s">
        <v>14</v>
      </c>
      <c r="D157" t="s">
        <v>28</v>
      </c>
      <c r="E157" s="1">
        <v>0.66666666666666663</v>
      </c>
      <c r="F157" t="s">
        <v>30</v>
      </c>
      <c r="G157">
        <v>272.7</v>
      </c>
      <c r="H157">
        <v>18.2</v>
      </c>
      <c r="I157">
        <v>10.1</v>
      </c>
      <c r="J157">
        <v>15.2</v>
      </c>
      <c r="K157">
        <v>4</v>
      </c>
      <c r="L157">
        <v>42</v>
      </c>
      <c r="M157" t="str">
        <f t="shared" si="4"/>
        <v/>
      </c>
      <c r="N157">
        <f t="shared" si="5"/>
        <v>272.7</v>
      </c>
    </row>
    <row r="158" spans="1:14" x14ac:dyDescent="0.35">
      <c r="A158" t="s">
        <v>23</v>
      </c>
      <c r="B158" t="s">
        <v>17</v>
      </c>
      <c r="C158" t="s">
        <v>11</v>
      </c>
      <c r="D158" t="s">
        <v>28</v>
      </c>
      <c r="E158" s="1">
        <v>0.66666666666666663</v>
      </c>
      <c r="F158" t="s">
        <v>29</v>
      </c>
      <c r="G158">
        <v>252.5</v>
      </c>
      <c r="H158">
        <v>15.2</v>
      </c>
      <c r="I158">
        <v>20.2</v>
      </c>
      <c r="J158">
        <v>8.1</v>
      </c>
      <c r="K158">
        <v>6.1</v>
      </c>
      <c r="L158">
        <v>44</v>
      </c>
      <c r="M158">
        <f t="shared" si="4"/>
        <v>252.5</v>
      </c>
      <c r="N158" t="str">
        <f t="shared" si="5"/>
        <v/>
      </c>
    </row>
    <row r="159" spans="1:14" x14ac:dyDescent="0.35">
      <c r="A159" t="s">
        <v>23</v>
      </c>
      <c r="B159" t="s">
        <v>17</v>
      </c>
      <c r="C159" t="s">
        <v>14</v>
      </c>
      <c r="D159" t="s">
        <v>28</v>
      </c>
      <c r="E159" s="1">
        <v>0.66666666666666663</v>
      </c>
      <c r="F159" t="s">
        <v>30</v>
      </c>
      <c r="G159">
        <v>272.7</v>
      </c>
      <c r="H159">
        <v>18.2</v>
      </c>
      <c r="I159">
        <v>10.1</v>
      </c>
      <c r="J159">
        <v>15.2</v>
      </c>
      <c r="K159">
        <v>4</v>
      </c>
      <c r="L159">
        <v>46</v>
      </c>
      <c r="M159" t="str">
        <f t="shared" si="4"/>
        <v/>
      </c>
      <c r="N159">
        <f t="shared" si="5"/>
        <v>272.7</v>
      </c>
    </row>
    <row r="160" spans="1:14" x14ac:dyDescent="0.35">
      <c r="A160" t="s">
        <v>23</v>
      </c>
      <c r="B160" t="s">
        <v>18</v>
      </c>
      <c r="C160" t="s">
        <v>11</v>
      </c>
      <c r="D160" t="s">
        <v>28</v>
      </c>
      <c r="E160" s="1">
        <v>0.66666666666666663</v>
      </c>
      <c r="F160" t="s">
        <v>29</v>
      </c>
      <c r="G160">
        <v>252.5</v>
      </c>
      <c r="H160">
        <v>15.2</v>
      </c>
      <c r="I160">
        <v>20.2</v>
      </c>
      <c r="J160">
        <v>8.1</v>
      </c>
      <c r="K160">
        <v>6.1</v>
      </c>
      <c r="L160">
        <v>47</v>
      </c>
      <c r="M160">
        <f t="shared" si="4"/>
        <v>252.5</v>
      </c>
      <c r="N160" t="str">
        <f t="shared" si="5"/>
        <v/>
      </c>
    </row>
    <row r="161" spans="1:14" x14ac:dyDescent="0.35">
      <c r="A161" t="s">
        <v>23</v>
      </c>
      <c r="B161" t="s">
        <v>18</v>
      </c>
      <c r="C161" t="s">
        <v>14</v>
      </c>
      <c r="D161" t="s">
        <v>28</v>
      </c>
      <c r="E161" s="1">
        <v>0.66666666666666663</v>
      </c>
      <c r="F161" t="s">
        <v>30</v>
      </c>
      <c r="G161">
        <v>272.7</v>
      </c>
      <c r="H161">
        <v>18.2</v>
      </c>
      <c r="I161">
        <v>10.1</v>
      </c>
      <c r="J161">
        <v>15.2</v>
      </c>
      <c r="K161">
        <v>4</v>
      </c>
      <c r="L161">
        <v>49</v>
      </c>
      <c r="M161" t="str">
        <f t="shared" si="4"/>
        <v/>
      </c>
      <c r="N161">
        <f t="shared" si="5"/>
        <v>272.7</v>
      </c>
    </row>
    <row r="162" spans="1:14" x14ac:dyDescent="0.35">
      <c r="A162" t="s">
        <v>24</v>
      </c>
      <c r="B162" t="s">
        <v>10</v>
      </c>
      <c r="C162" t="s">
        <v>11</v>
      </c>
      <c r="D162" t="s">
        <v>28</v>
      </c>
      <c r="E162" s="1">
        <v>0.66666666666666663</v>
      </c>
      <c r="F162" t="s">
        <v>29</v>
      </c>
      <c r="G162">
        <v>255</v>
      </c>
      <c r="H162">
        <v>15.3</v>
      </c>
      <c r="I162">
        <v>20.399999999999999</v>
      </c>
      <c r="J162">
        <v>8.1999999999999993</v>
      </c>
      <c r="K162">
        <v>6.1</v>
      </c>
      <c r="L162">
        <v>36</v>
      </c>
      <c r="M162">
        <f t="shared" si="4"/>
        <v>255</v>
      </c>
      <c r="N162" t="str">
        <f t="shared" si="5"/>
        <v/>
      </c>
    </row>
    <row r="163" spans="1:14" x14ac:dyDescent="0.35">
      <c r="A163" t="s">
        <v>24</v>
      </c>
      <c r="B163" t="s">
        <v>10</v>
      </c>
      <c r="C163" t="s">
        <v>14</v>
      </c>
      <c r="D163" t="s">
        <v>28</v>
      </c>
      <c r="E163" s="1">
        <v>0.66666666666666663</v>
      </c>
      <c r="F163" t="s">
        <v>30</v>
      </c>
      <c r="G163">
        <v>275.39999999999998</v>
      </c>
      <c r="H163">
        <v>18.399999999999999</v>
      </c>
      <c r="I163">
        <v>10.199999999999999</v>
      </c>
      <c r="J163">
        <v>15.3</v>
      </c>
      <c r="K163">
        <v>4.0999999999999996</v>
      </c>
      <c r="L163">
        <v>38</v>
      </c>
      <c r="M163" t="str">
        <f t="shared" si="4"/>
        <v/>
      </c>
      <c r="N163">
        <f t="shared" si="5"/>
        <v>275.39999999999998</v>
      </c>
    </row>
    <row r="164" spans="1:14" x14ac:dyDescent="0.35">
      <c r="A164" t="s">
        <v>24</v>
      </c>
      <c r="B164" t="s">
        <v>16</v>
      </c>
      <c r="C164" t="s">
        <v>11</v>
      </c>
      <c r="D164" t="s">
        <v>28</v>
      </c>
      <c r="E164" s="1">
        <v>0.66666666666666663</v>
      </c>
      <c r="F164" t="s">
        <v>29</v>
      </c>
      <c r="G164">
        <v>255</v>
      </c>
      <c r="H164">
        <v>15.3</v>
      </c>
      <c r="I164">
        <v>20.399999999999999</v>
      </c>
      <c r="J164">
        <v>8.1999999999999993</v>
      </c>
      <c r="K164">
        <v>6.1</v>
      </c>
      <c r="L164">
        <v>40</v>
      </c>
      <c r="M164">
        <f t="shared" si="4"/>
        <v>255</v>
      </c>
      <c r="N164" t="str">
        <f t="shared" si="5"/>
        <v/>
      </c>
    </row>
    <row r="165" spans="1:14" x14ac:dyDescent="0.35">
      <c r="A165" t="s">
        <v>24</v>
      </c>
      <c r="B165" t="s">
        <v>16</v>
      </c>
      <c r="C165" t="s">
        <v>14</v>
      </c>
      <c r="D165" t="s">
        <v>28</v>
      </c>
      <c r="E165" s="1">
        <v>0.66666666666666663</v>
      </c>
      <c r="F165" t="s">
        <v>30</v>
      </c>
      <c r="G165">
        <v>275.39999999999998</v>
      </c>
      <c r="H165">
        <v>18.399999999999999</v>
      </c>
      <c r="I165">
        <v>10.199999999999999</v>
      </c>
      <c r="J165">
        <v>15.3</v>
      </c>
      <c r="K165">
        <v>4.0999999999999996</v>
      </c>
      <c r="L165">
        <v>42</v>
      </c>
      <c r="M165" t="str">
        <f t="shared" si="4"/>
        <v/>
      </c>
      <c r="N165">
        <f t="shared" si="5"/>
        <v>275.39999999999998</v>
      </c>
    </row>
    <row r="166" spans="1:14" x14ac:dyDescent="0.35">
      <c r="A166" t="s">
        <v>24</v>
      </c>
      <c r="B166" t="s">
        <v>17</v>
      </c>
      <c r="C166" t="s">
        <v>11</v>
      </c>
      <c r="D166" t="s">
        <v>28</v>
      </c>
      <c r="E166" s="1">
        <v>0.66666666666666663</v>
      </c>
      <c r="F166" t="s">
        <v>29</v>
      </c>
      <c r="G166">
        <v>255</v>
      </c>
      <c r="H166">
        <v>15.3</v>
      </c>
      <c r="I166">
        <v>20.399999999999999</v>
      </c>
      <c r="J166">
        <v>8.1999999999999993</v>
      </c>
      <c r="K166">
        <v>6.1</v>
      </c>
      <c r="L166">
        <v>45</v>
      </c>
      <c r="M166">
        <f t="shared" si="4"/>
        <v>255</v>
      </c>
      <c r="N166" t="str">
        <f t="shared" si="5"/>
        <v/>
      </c>
    </row>
    <row r="167" spans="1:14" x14ac:dyDescent="0.35">
      <c r="A167" t="s">
        <v>24</v>
      </c>
      <c r="B167" t="s">
        <v>17</v>
      </c>
      <c r="C167" t="s">
        <v>14</v>
      </c>
      <c r="D167" t="s">
        <v>28</v>
      </c>
      <c r="E167" s="1">
        <v>0.66666666666666663</v>
      </c>
      <c r="F167" t="s">
        <v>30</v>
      </c>
      <c r="G167">
        <v>275.39999999999998</v>
      </c>
      <c r="H167">
        <v>18.399999999999999</v>
      </c>
      <c r="I167">
        <v>10.199999999999999</v>
      </c>
      <c r="J167">
        <v>15.3</v>
      </c>
      <c r="K167">
        <v>4.0999999999999996</v>
      </c>
      <c r="L167">
        <v>48</v>
      </c>
      <c r="M167" t="str">
        <f t="shared" si="4"/>
        <v/>
      </c>
      <c r="N167">
        <f t="shared" si="5"/>
        <v>275.39999999999998</v>
      </c>
    </row>
    <row r="168" spans="1:14" x14ac:dyDescent="0.35">
      <c r="A168" t="s">
        <v>24</v>
      </c>
      <c r="B168" t="s">
        <v>18</v>
      </c>
      <c r="C168" t="s">
        <v>11</v>
      </c>
      <c r="D168" t="s">
        <v>28</v>
      </c>
      <c r="E168" s="1">
        <v>0.66666666666666663</v>
      </c>
      <c r="F168" t="s">
        <v>29</v>
      </c>
      <c r="G168">
        <v>255</v>
      </c>
      <c r="H168">
        <v>15.3</v>
      </c>
      <c r="I168">
        <v>20.399999999999999</v>
      </c>
      <c r="J168">
        <v>8.1999999999999993</v>
      </c>
      <c r="K168">
        <v>6.1</v>
      </c>
      <c r="L168">
        <v>46</v>
      </c>
      <c r="M168">
        <f t="shared" si="4"/>
        <v>255</v>
      </c>
      <c r="N168" t="str">
        <f t="shared" si="5"/>
        <v/>
      </c>
    </row>
    <row r="169" spans="1:14" x14ac:dyDescent="0.35">
      <c r="A169" t="s">
        <v>24</v>
      </c>
      <c r="B169" t="s">
        <v>18</v>
      </c>
      <c r="C169" t="s">
        <v>14</v>
      </c>
      <c r="D169" t="s">
        <v>28</v>
      </c>
      <c r="E169" s="1">
        <v>0.66666666666666663</v>
      </c>
      <c r="F169" t="s">
        <v>30</v>
      </c>
      <c r="G169">
        <v>275.39999999999998</v>
      </c>
      <c r="H169">
        <v>18.399999999999999</v>
      </c>
      <c r="I169">
        <v>10.199999999999999</v>
      </c>
      <c r="J169">
        <v>15.3</v>
      </c>
      <c r="K169">
        <v>4.0999999999999996</v>
      </c>
      <c r="L169">
        <v>49</v>
      </c>
      <c r="M169" t="str">
        <f t="shared" si="4"/>
        <v/>
      </c>
      <c r="N169">
        <f t="shared" si="5"/>
        <v>275.39999999999998</v>
      </c>
    </row>
    <row r="170" spans="1:14" x14ac:dyDescent="0.35">
      <c r="A170" t="s">
        <v>9</v>
      </c>
      <c r="B170" t="s">
        <v>10</v>
      </c>
      <c r="C170" t="s">
        <v>11</v>
      </c>
      <c r="D170" t="s">
        <v>31</v>
      </c>
      <c r="E170" s="1">
        <v>0.83333333333333337</v>
      </c>
      <c r="F170" t="s">
        <v>32</v>
      </c>
      <c r="G170">
        <v>307.2</v>
      </c>
      <c r="H170">
        <v>21.1</v>
      </c>
      <c r="I170">
        <v>17.3</v>
      </c>
      <c r="J170">
        <v>11.5</v>
      </c>
      <c r="K170">
        <v>6.7</v>
      </c>
      <c r="L170">
        <v>44</v>
      </c>
      <c r="M170">
        <f t="shared" si="4"/>
        <v>307.2</v>
      </c>
      <c r="N170" t="str">
        <f t="shared" si="5"/>
        <v/>
      </c>
    </row>
    <row r="171" spans="1:14" x14ac:dyDescent="0.35">
      <c r="A171" t="s">
        <v>9</v>
      </c>
      <c r="B171" t="s">
        <v>10</v>
      </c>
      <c r="C171" t="s">
        <v>14</v>
      </c>
      <c r="D171" t="s">
        <v>31</v>
      </c>
      <c r="E171" s="1">
        <v>0.83333333333333337</v>
      </c>
      <c r="F171" t="s">
        <v>33</v>
      </c>
      <c r="G171">
        <v>336</v>
      </c>
      <c r="H171">
        <v>28.8</v>
      </c>
      <c r="I171">
        <v>14.4</v>
      </c>
      <c r="J171">
        <v>13.4</v>
      </c>
      <c r="K171">
        <v>5.8</v>
      </c>
      <c r="L171">
        <v>46</v>
      </c>
      <c r="M171" t="str">
        <f t="shared" si="4"/>
        <v/>
      </c>
      <c r="N171">
        <f t="shared" si="5"/>
        <v>336</v>
      </c>
    </row>
    <row r="172" spans="1:14" x14ac:dyDescent="0.35">
      <c r="A172" t="s">
        <v>9</v>
      </c>
      <c r="B172" t="s">
        <v>16</v>
      </c>
      <c r="C172" t="s">
        <v>11</v>
      </c>
      <c r="D172" t="s">
        <v>31</v>
      </c>
      <c r="E172" s="1">
        <v>0.83333333333333337</v>
      </c>
      <c r="F172" t="s">
        <v>32</v>
      </c>
      <c r="G172">
        <v>307.2</v>
      </c>
      <c r="H172">
        <v>21.1</v>
      </c>
      <c r="I172">
        <v>17.3</v>
      </c>
      <c r="J172">
        <v>11.5</v>
      </c>
      <c r="K172">
        <v>6.7</v>
      </c>
      <c r="L172">
        <v>49</v>
      </c>
      <c r="M172">
        <f t="shared" si="4"/>
        <v>307.2</v>
      </c>
      <c r="N172" t="str">
        <f t="shared" si="5"/>
        <v/>
      </c>
    </row>
    <row r="173" spans="1:14" x14ac:dyDescent="0.35">
      <c r="A173" t="s">
        <v>9</v>
      </c>
      <c r="B173" t="s">
        <v>16</v>
      </c>
      <c r="C173" t="s">
        <v>14</v>
      </c>
      <c r="D173" t="s">
        <v>31</v>
      </c>
      <c r="E173" s="1">
        <v>0.83333333333333337</v>
      </c>
      <c r="F173" t="s">
        <v>33</v>
      </c>
      <c r="G173">
        <v>336</v>
      </c>
      <c r="H173">
        <v>28.8</v>
      </c>
      <c r="I173">
        <v>14.4</v>
      </c>
      <c r="J173">
        <v>13.4</v>
      </c>
      <c r="K173">
        <v>5.8</v>
      </c>
      <c r="L173">
        <v>53</v>
      </c>
      <c r="M173" t="str">
        <f t="shared" si="4"/>
        <v/>
      </c>
      <c r="N173">
        <f t="shared" si="5"/>
        <v>336</v>
      </c>
    </row>
    <row r="174" spans="1:14" x14ac:dyDescent="0.35">
      <c r="A174" t="s">
        <v>9</v>
      </c>
      <c r="B174" t="s">
        <v>17</v>
      </c>
      <c r="C174" t="s">
        <v>11</v>
      </c>
      <c r="D174" t="s">
        <v>31</v>
      </c>
      <c r="E174" s="1">
        <v>0.83333333333333337</v>
      </c>
      <c r="F174" t="s">
        <v>32</v>
      </c>
      <c r="G174">
        <v>307.2</v>
      </c>
      <c r="H174">
        <v>21.1</v>
      </c>
      <c r="I174">
        <v>17.3</v>
      </c>
      <c r="J174">
        <v>11.5</v>
      </c>
      <c r="K174">
        <v>6.7</v>
      </c>
      <c r="L174">
        <v>60</v>
      </c>
      <c r="M174">
        <f t="shared" si="4"/>
        <v>307.2</v>
      </c>
      <c r="N174" t="str">
        <f t="shared" si="5"/>
        <v/>
      </c>
    </row>
    <row r="175" spans="1:14" x14ac:dyDescent="0.35">
      <c r="A175" t="s">
        <v>9</v>
      </c>
      <c r="B175" t="s">
        <v>17</v>
      </c>
      <c r="C175" t="s">
        <v>14</v>
      </c>
      <c r="D175" t="s">
        <v>31</v>
      </c>
      <c r="E175" s="1">
        <v>0.83333333333333337</v>
      </c>
      <c r="F175" t="s">
        <v>33</v>
      </c>
      <c r="G175">
        <v>336</v>
      </c>
      <c r="H175">
        <v>28.8</v>
      </c>
      <c r="I175">
        <v>14.4</v>
      </c>
      <c r="J175">
        <v>13.4</v>
      </c>
      <c r="K175">
        <v>5.8</v>
      </c>
      <c r="L175">
        <v>63</v>
      </c>
      <c r="M175" t="str">
        <f t="shared" si="4"/>
        <v/>
      </c>
      <c r="N175">
        <f t="shared" si="5"/>
        <v>336</v>
      </c>
    </row>
    <row r="176" spans="1:14" x14ac:dyDescent="0.35">
      <c r="A176" t="s">
        <v>9</v>
      </c>
      <c r="B176" t="s">
        <v>18</v>
      </c>
      <c r="C176" t="s">
        <v>11</v>
      </c>
      <c r="D176" t="s">
        <v>31</v>
      </c>
      <c r="E176" s="1">
        <v>0.83333333333333337</v>
      </c>
      <c r="F176" t="s">
        <v>32</v>
      </c>
      <c r="G176">
        <v>307.2</v>
      </c>
      <c r="H176">
        <v>21.1</v>
      </c>
      <c r="I176">
        <v>17.3</v>
      </c>
      <c r="J176">
        <v>11.5</v>
      </c>
      <c r="K176">
        <v>6.7</v>
      </c>
      <c r="L176">
        <v>55</v>
      </c>
      <c r="M176">
        <f t="shared" si="4"/>
        <v>307.2</v>
      </c>
      <c r="N176" t="str">
        <f t="shared" si="5"/>
        <v/>
      </c>
    </row>
    <row r="177" spans="1:14" x14ac:dyDescent="0.35">
      <c r="A177" t="s">
        <v>9</v>
      </c>
      <c r="B177" t="s">
        <v>18</v>
      </c>
      <c r="C177" t="s">
        <v>14</v>
      </c>
      <c r="D177" t="s">
        <v>31</v>
      </c>
      <c r="E177" s="1">
        <v>0.83333333333333337</v>
      </c>
      <c r="F177" t="s">
        <v>33</v>
      </c>
      <c r="G177">
        <v>336</v>
      </c>
      <c r="H177">
        <v>28.8</v>
      </c>
      <c r="I177">
        <v>14.4</v>
      </c>
      <c r="J177">
        <v>13.4</v>
      </c>
      <c r="K177">
        <v>5.8</v>
      </c>
      <c r="L177">
        <v>57</v>
      </c>
      <c r="M177" t="str">
        <f t="shared" si="4"/>
        <v/>
      </c>
      <c r="N177">
        <f t="shared" si="5"/>
        <v>336</v>
      </c>
    </row>
    <row r="178" spans="1:14" x14ac:dyDescent="0.35">
      <c r="A178" t="s">
        <v>19</v>
      </c>
      <c r="B178" t="s">
        <v>10</v>
      </c>
      <c r="C178" t="s">
        <v>11</v>
      </c>
      <c r="D178" t="s">
        <v>31</v>
      </c>
      <c r="E178" s="1">
        <v>0.83333333333333337</v>
      </c>
      <c r="F178" t="s">
        <v>32</v>
      </c>
      <c r="G178">
        <v>310.39999999999998</v>
      </c>
      <c r="H178">
        <v>21.3</v>
      </c>
      <c r="I178">
        <v>17.5</v>
      </c>
      <c r="J178">
        <v>11.6</v>
      </c>
      <c r="K178">
        <v>6.8</v>
      </c>
      <c r="L178">
        <v>43</v>
      </c>
      <c r="M178">
        <f t="shared" si="4"/>
        <v>310.39999999999998</v>
      </c>
      <c r="N178" t="str">
        <f t="shared" si="5"/>
        <v/>
      </c>
    </row>
    <row r="179" spans="1:14" x14ac:dyDescent="0.35">
      <c r="A179" t="s">
        <v>19</v>
      </c>
      <c r="B179" t="s">
        <v>10</v>
      </c>
      <c r="C179" t="s">
        <v>14</v>
      </c>
      <c r="D179" t="s">
        <v>31</v>
      </c>
      <c r="E179" s="1">
        <v>0.83333333333333337</v>
      </c>
      <c r="F179" t="s">
        <v>33</v>
      </c>
      <c r="G179">
        <v>339.5</v>
      </c>
      <c r="H179">
        <v>29.1</v>
      </c>
      <c r="I179">
        <v>14.5</v>
      </c>
      <c r="J179">
        <v>13.6</v>
      </c>
      <c r="K179">
        <v>5.8</v>
      </c>
      <c r="L179">
        <v>45</v>
      </c>
      <c r="M179" t="str">
        <f t="shared" si="4"/>
        <v/>
      </c>
      <c r="N179">
        <f t="shared" si="5"/>
        <v>339.5</v>
      </c>
    </row>
    <row r="180" spans="1:14" x14ac:dyDescent="0.35">
      <c r="A180" t="s">
        <v>19</v>
      </c>
      <c r="B180" t="s">
        <v>16</v>
      </c>
      <c r="C180" t="s">
        <v>11</v>
      </c>
      <c r="D180" t="s">
        <v>31</v>
      </c>
      <c r="E180" s="1">
        <v>0.83333333333333337</v>
      </c>
      <c r="F180" t="s">
        <v>32</v>
      </c>
      <c r="G180">
        <v>310.39999999999998</v>
      </c>
      <c r="H180">
        <v>21.3</v>
      </c>
      <c r="I180">
        <v>17.5</v>
      </c>
      <c r="J180">
        <v>11.6</v>
      </c>
      <c r="K180">
        <v>6.8</v>
      </c>
      <c r="L180">
        <v>48</v>
      </c>
      <c r="M180">
        <f t="shared" si="4"/>
        <v>310.39999999999998</v>
      </c>
      <c r="N180" t="str">
        <f t="shared" si="5"/>
        <v/>
      </c>
    </row>
    <row r="181" spans="1:14" x14ac:dyDescent="0.35">
      <c r="A181" t="s">
        <v>19</v>
      </c>
      <c r="B181" t="s">
        <v>16</v>
      </c>
      <c r="C181" t="s">
        <v>14</v>
      </c>
      <c r="D181" t="s">
        <v>31</v>
      </c>
      <c r="E181" s="1">
        <v>0.83333333333333337</v>
      </c>
      <c r="F181" t="s">
        <v>33</v>
      </c>
      <c r="G181">
        <v>339.5</v>
      </c>
      <c r="H181">
        <v>29.1</v>
      </c>
      <c r="I181">
        <v>14.5</v>
      </c>
      <c r="J181">
        <v>13.6</v>
      </c>
      <c r="K181">
        <v>5.8</v>
      </c>
      <c r="L181">
        <v>52</v>
      </c>
      <c r="M181" t="str">
        <f t="shared" si="4"/>
        <v/>
      </c>
      <c r="N181">
        <f t="shared" si="5"/>
        <v>339.5</v>
      </c>
    </row>
    <row r="182" spans="1:14" x14ac:dyDescent="0.35">
      <c r="A182" t="s">
        <v>19</v>
      </c>
      <c r="B182" t="s">
        <v>17</v>
      </c>
      <c r="C182" t="s">
        <v>11</v>
      </c>
      <c r="D182" t="s">
        <v>31</v>
      </c>
      <c r="E182" s="1">
        <v>0.83333333333333337</v>
      </c>
      <c r="F182" t="s">
        <v>32</v>
      </c>
      <c r="G182">
        <v>310.39999999999998</v>
      </c>
      <c r="H182">
        <v>21.3</v>
      </c>
      <c r="I182">
        <v>17.5</v>
      </c>
      <c r="J182">
        <v>11.6</v>
      </c>
      <c r="K182">
        <v>6.8</v>
      </c>
      <c r="L182">
        <v>58</v>
      </c>
      <c r="M182">
        <f t="shared" si="4"/>
        <v>310.39999999999998</v>
      </c>
      <c r="N182" t="str">
        <f t="shared" si="5"/>
        <v/>
      </c>
    </row>
    <row r="183" spans="1:14" x14ac:dyDescent="0.35">
      <c r="A183" t="s">
        <v>19</v>
      </c>
      <c r="B183" t="s">
        <v>17</v>
      </c>
      <c r="C183" t="s">
        <v>14</v>
      </c>
      <c r="D183" t="s">
        <v>31</v>
      </c>
      <c r="E183" s="1">
        <v>0.83333333333333337</v>
      </c>
      <c r="F183" t="s">
        <v>33</v>
      </c>
      <c r="G183">
        <v>339.5</v>
      </c>
      <c r="H183">
        <v>29.1</v>
      </c>
      <c r="I183">
        <v>14.5</v>
      </c>
      <c r="J183">
        <v>13.6</v>
      </c>
      <c r="K183">
        <v>5.8</v>
      </c>
      <c r="L183">
        <v>60</v>
      </c>
      <c r="M183" t="str">
        <f t="shared" si="4"/>
        <v/>
      </c>
      <c r="N183">
        <f t="shared" si="5"/>
        <v>339.5</v>
      </c>
    </row>
    <row r="184" spans="1:14" x14ac:dyDescent="0.35">
      <c r="A184" t="s">
        <v>19</v>
      </c>
      <c r="B184" t="s">
        <v>18</v>
      </c>
      <c r="C184" t="s">
        <v>11</v>
      </c>
      <c r="D184" t="s">
        <v>31</v>
      </c>
      <c r="E184" s="1">
        <v>0.83333333333333337</v>
      </c>
      <c r="F184" t="s">
        <v>32</v>
      </c>
      <c r="G184">
        <v>310.39999999999998</v>
      </c>
      <c r="H184">
        <v>21.3</v>
      </c>
      <c r="I184">
        <v>17.5</v>
      </c>
      <c r="J184">
        <v>11.6</v>
      </c>
      <c r="K184">
        <v>6.8</v>
      </c>
      <c r="L184">
        <v>53</v>
      </c>
      <c r="M184">
        <f t="shared" si="4"/>
        <v>310.39999999999998</v>
      </c>
      <c r="N184" t="str">
        <f t="shared" si="5"/>
        <v/>
      </c>
    </row>
    <row r="185" spans="1:14" x14ac:dyDescent="0.35">
      <c r="A185" t="s">
        <v>19</v>
      </c>
      <c r="B185" t="s">
        <v>18</v>
      </c>
      <c r="C185" t="s">
        <v>14</v>
      </c>
      <c r="D185" t="s">
        <v>31</v>
      </c>
      <c r="E185" s="1">
        <v>0.83333333333333337</v>
      </c>
      <c r="F185" t="s">
        <v>33</v>
      </c>
      <c r="G185">
        <v>339.5</v>
      </c>
      <c r="H185">
        <v>29.1</v>
      </c>
      <c r="I185">
        <v>14.5</v>
      </c>
      <c r="J185">
        <v>13.6</v>
      </c>
      <c r="K185">
        <v>5.8</v>
      </c>
      <c r="L185">
        <v>54</v>
      </c>
      <c r="M185" t="str">
        <f t="shared" si="4"/>
        <v/>
      </c>
      <c r="N185">
        <f t="shared" si="5"/>
        <v>339.5</v>
      </c>
    </row>
    <row r="186" spans="1:14" x14ac:dyDescent="0.35">
      <c r="A186" t="s">
        <v>20</v>
      </c>
      <c r="B186" t="s">
        <v>10</v>
      </c>
      <c r="C186" t="s">
        <v>11</v>
      </c>
      <c r="D186" t="s">
        <v>31</v>
      </c>
      <c r="E186" s="1">
        <v>0.83333333333333337</v>
      </c>
      <c r="F186" t="s">
        <v>32</v>
      </c>
      <c r="G186">
        <v>313.60000000000002</v>
      </c>
      <c r="H186">
        <v>21.6</v>
      </c>
      <c r="I186">
        <v>17.600000000000001</v>
      </c>
      <c r="J186">
        <v>11.8</v>
      </c>
      <c r="K186">
        <v>6.9</v>
      </c>
      <c r="L186">
        <v>46</v>
      </c>
      <c r="M186">
        <f t="shared" si="4"/>
        <v>313.60000000000002</v>
      </c>
      <c r="N186" t="str">
        <f t="shared" si="5"/>
        <v/>
      </c>
    </row>
    <row r="187" spans="1:14" x14ac:dyDescent="0.35">
      <c r="A187" t="s">
        <v>20</v>
      </c>
      <c r="B187" t="s">
        <v>10</v>
      </c>
      <c r="C187" t="s">
        <v>14</v>
      </c>
      <c r="D187" t="s">
        <v>31</v>
      </c>
      <c r="E187" s="1">
        <v>0.83333333333333337</v>
      </c>
      <c r="F187" t="s">
        <v>33</v>
      </c>
      <c r="G187">
        <v>343</v>
      </c>
      <c r="H187">
        <v>29.4</v>
      </c>
      <c r="I187">
        <v>14.7</v>
      </c>
      <c r="J187">
        <v>13.7</v>
      </c>
      <c r="K187">
        <v>5.9</v>
      </c>
      <c r="L187">
        <v>47</v>
      </c>
      <c r="M187" t="str">
        <f t="shared" si="4"/>
        <v/>
      </c>
      <c r="N187">
        <f t="shared" si="5"/>
        <v>343</v>
      </c>
    </row>
    <row r="188" spans="1:14" x14ac:dyDescent="0.35">
      <c r="A188" t="s">
        <v>20</v>
      </c>
      <c r="B188" t="s">
        <v>16</v>
      </c>
      <c r="C188" t="s">
        <v>11</v>
      </c>
      <c r="D188" t="s">
        <v>31</v>
      </c>
      <c r="E188" s="1">
        <v>0.83333333333333337</v>
      </c>
      <c r="F188" t="s">
        <v>32</v>
      </c>
      <c r="G188">
        <v>313.60000000000002</v>
      </c>
      <c r="H188">
        <v>21.6</v>
      </c>
      <c r="I188">
        <v>17.600000000000001</v>
      </c>
      <c r="J188">
        <v>11.8</v>
      </c>
      <c r="K188">
        <v>6.9</v>
      </c>
      <c r="L188">
        <v>47</v>
      </c>
      <c r="M188">
        <f t="shared" si="4"/>
        <v>313.60000000000002</v>
      </c>
      <c r="N188" t="str">
        <f t="shared" si="5"/>
        <v/>
      </c>
    </row>
    <row r="189" spans="1:14" x14ac:dyDescent="0.35">
      <c r="A189" t="s">
        <v>20</v>
      </c>
      <c r="B189" t="s">
        <v>16</v>
      </c>
      <c r="C189" t="s">
        <v>14</v>
      </c>
      <c r="D189" t="s">
        <v>31</v>
      </c>
      <c r="E189" s="1">
        <v>0.83333333333333337</v>
      </c>
      <c r="F189" t="s">
        <v>33</v>
      </c>
      <c r="G189">
        <v>343</v>
      </c>
      <c r="H189">
        <v>29.4</v>
      </c>
      <c r="I189">
        <v>14.7</v>
      </c>
      <c r="J189">
        <v>13.7</v>
      </c>
      <c r="K189">
        <v>5.9</v>
      </c>
      <c r="L189">
        <v>50</v>
      </c>
      <c r="M189" t="str">
        <f t="shared" si="4"/>
        <v/>
      </c>
      <c r="N189">
        <f t="shared" si="5"/>
        <v>343</v>
      </c>
    </row>
    <row r="190" spans="1:14" x14ac:dyDescent="0.35">
      <c r="A190" t="s">
        <v>20</v>
      </c>
      <c r="B190" t="s">
        <v>17</v>
      </c>
      <c r="C190" t="s">
        <v>11</v>
      </c>
      <c r="D190" t="s">
        <v>31</v>
      </c>
      <c r="E190" s="1">
        <v>0.83333333333333337</v>
      </c>
      <c r="F190" t="s">
        <v>32</v>
      </c>
      <c r="G190">
        <v>313.60000000000002</v>
      </c>
      <c r="H190">
        <v>21.6</v>
      </c>
      <c r="I190">
        <v>17.600000000000001</v>
      </c>
      <c r="J190">
        <v>11.8</v>
      </c>
      <c r="K190">
        <v>6.9</v>
      </c>
      <c r="L190">
        <v>56</v>
      </c>
      <c r="M190">
        <f t="shared" si="4"/>
        <v>313.60000000000002</v>
      </c>
      <c r="N190" t="str">
        <f t="shared" si="5"/>
        <v/>
      </c>
    </row>
    <row r="191" spans="1:14" x14ac:dyDescent="0.35">
      <c r="A191" t="s">
        <v>20</v>
      </c>
      <c r="B191" t="s">
        <v>17</v>
      </c>
      <c r="C191" t="s">
        <v>14</v>
      </c>
      <c r="D191" t="s">
        <v>31</v>
      </c>
      <c r="E191" s="1">
        <v>0.83333333333333337</v>
      </c>
      <c r="F191" t="s">
        <v>33</v>
      </c>
      <c r="G191">
        <v>343</v>
      </c>
      <c r="H191">
        <v>29.4</v>
      </c>
      <c r="I191">
        <v>14.7</v>
      </c>
      <c r="J191">
        <v>13.7</v>
      </c>
      <c r="K191">
        <v>5.9</v>
      </c>
      <c r="L191">
        <v>60</v>
      </c>
      <c r="M191" t="str">
        <f t="shared" si="4"/>
        <v/>
      </c>
      <c r="N191">
        <f t="shared" si="5"/>
        <v>343</v>
      </c>
    </row>
    <row r="192" spans="1:14" x14ac:dyDescent="0.35">
      <c r="A192" t="s">
        <v>20</v>
      </c>
      <c r="B192" t="s">
        <v>18</v>
      </c>
      <c r="C192" t="s">
        <v>11</v>
      </c>
      <c r="D192" t="s">
        <v>31</v>
      </c>
      <c r="E192" s="1">
        <v>0.83333333333333337</v>
      </c>
      <c r="F192" t="s">
        <v>32</v>
      </c>
      <c r="G192">
        <v>313.60000000000002</v>
      </c>
      <c r="H192">
        <v>21.6</v>
      </c>
      <c r="I192">
        <v>17.600000000000001</v>
      </c>
      <c r="J192">
        <v>11.8</v>
      </c>
      <c r="K192">
        <v>6.9</v>
      </c>
      <c r="L192">
        <v>54</v>
      </c>
      <c r="M192">
        <f t="shared" si="4"/>
        <v>313.60000000000002</v>
      </c>
      <c r="N192" t="str">
        <f t="shared" si="5"/>
        <v/>
      </c>
    </row>
    <row r="193" spans="1:14" x14ac:dyDescent="0.35">
      <c r="A193" t="s">
        <v>20</v>
      </c>
      <c r="B193" t="s">
        <v>18</v>
      </c>
      <c r="C193" t="s">
        <v>14</v>
      </c>
      <c r="D193" t="s">
        <v>31</v>
      </c>
      <c r="E193" s="1">
        <v>0.83333333333333337</v>
      </c>
      <c r="F193" t="s">
        <v>33</v>
      </c>
      <c r="G193">
        <v>343</v>
      </c>
      <c r="H193">
        <v>29.4</v>
      </c>
      <c r="I193">
        <v>14.7</v>
      </c>
      <c r="J193">
        <v>13.7</v>
      </c>
      <c r="K193">
        <v>5.9</v>
      </c>
      <c r="L193">
        <v>56</v>
      </c>
      <c r="M193" t="str">
        <f t="shared" si="4"/>
        <v/>
      </c>
      <c r="N193">
        <f t="shared" si="5"/>
        <v>343</v>
      </c>
    </row>
    <row r="194" spans="1:14" x14ac:dyDescent="0.35">
      <c r="A194" t="s">
        <v>21</v>
      </c>
      <c r="B194" t="s">
        <v>10</v>
      </c>
      <c r="C194" t="s">
        <v>11</v>
      </c>
      <c r="D194" t="s">
        <v>31</v>
      </c>
      <c r="E194" s="1">
        <v>0.83333333333333337</v>
      </c>
      <c r="F194" t="s">
        <v>32</v>
      </c>
      <c r="G194">
        <v>316.8</v>
      </c>
      <c r="H194">
        <v>21.8</v>
      </c>
      <c r="I194">
        <v>17.8</v>
      </c>
      <c r="J194">
        <v>11.9</v>
      </c>
      <c r="K194">
        <v>6.9</v>
      </c>
      <c r="L194">
        <v>41</v>
      </c>
      <c r="M194">
        <f t="shared" si="4"/>
        <v>316.8</v>
      </c>
      <c r="N194" t="str">
        <f t="shared" si="5"/>
        <v/>
      </c>
    </row>
    <row r="195" spans="1:14" x14ac:dyDescent="0.35">
      <c r="A195" t="s">
        <v>21</v>
      </c>
      <c r="B195" t="s">
        <v>10</v>
      </c>
      <c r="C195" t="s">
        <v>14</v>
      </c>
      <c r="D195" t="s">
        <v>31</v>
      </c>
      <c r="E195" s="1">
        <v>0.83333333333333337</v>
      </c>
      <c r="F195" t="s">
        <v>33</v>
      </c>
      <c r="G195">
        <v>346.5</v>
      </c>
      <c r="H195">
        <v>29.7</v>
      </c>
      <c r="I195">
        <v>14.8</v>
      </c>
      <c r="J195">
        <v>13.9</v>
      </c>
      <c r="K195">
        <v>5.9</v>
      </c>
      <c r="L195">
        <v>42</v>
      </c>
      <c r="M195" t="str">
        <f t="shared" ref="M195:M225" si="6">IF(C195="Veg",G195,"")</f>
        <v/>
      </c>
      <c r="N195">
        <f t="shared" si="5"/>
        <v>346.5</v>
      </c>
    </row>
    <row r="196" spans="1:14" x14ac:dyDescent="0.35">
      <c r="A196" t="s">
        <v>21</v>
      </c>
      <c r="B196" t="s">
        <v>16</v>
      </c>
      <c r="C196" t="s">
        <v>11</v>
      </c>
      <c r="D196" t="s">
        <v>31</v>
      </c>
      <c r="E196" s="1">
        <v>0.83333333333333337</v>
      </c>
      <c r="F196" t="s">
        <v>32</v>
      </c>
      <c r="G196">
        <v>316.8</v>
      </c>
      <c r="H196">
        <v>21.8</v>
      </c>
      <c r="I196">
        <v>17.8</v>
      </c>
      <c r="J196">
        <v>11.9</v>
      </c>
      <c r="K196">
        <v>6.9</v>
      </c>
      <c r="L196">
        <v>46</v>
      </c>
      <c r="M196">
        <f t="shared" si="6"/>
        <v>316.8</v>
      </c>
      <c r="N196" t="str">
        <f t="shared" ref="N196:N225" si="7">IF(C196="Non-Veg",G196,"")</f>
        <v/>
      </c>
    </row>
    <row r="197" spans="1:14" x14ac:dyDescent="0.35">
      <c r="A197" t="s">
        <v>21</v>
      </c>
      <c r="B197" t="s">
        <v>16</v>
      </c>
      <c r="C197" t="s">
        <v>14</v>
      </c>
      <c r="D197" t="s">
        <v>31</v>
      </c>
      <c r="E197" s="1">
        <v>0.83333333333333337</v>
      </c>
      <c r="F197" t="s">
        <v>33</v>
      </c>
      <c r="G197">
        <v>346.5</v>
      </c>
      <c r="H197">
        <v>29.7</v>
      </c>
      <c r="I197">
        <v>14.8</v>
      </c>
      <c r="J197">
        <v>13.9</v>
      </c>
      <c r="K197">
        <v>5.9</v>
      </c>
      <c r="L197">
        <v>48</v>
      </c>
      <c r="M197" t="str">
        <f t="shared" si="6"/>
        <v/>
      </c>
      <c r="N197">
        <f t="shared" si="7"/>
        <v>346.5</v>
      </c>
    </row>
    <row r="198" spans="1:14" x14ac:dyDescent="0.35">
      <c r="A198" t="s">
        <v>21</v>
      </c>
      <c r="B198" t="s">
        <v>17</v>
      </c>
      <c r="C198" t="s">
        <v>11</v>
      </c>
      <c r="D198" t="s">
        <v>31</v>
      </c>
      <c r="E198" s="1">
        <v>0.83333333333333337</v>
      </c>
      <c r="F198" t="s">
        <v>32</v>
      </c>
      <c r="G198">
        <v>316.8</v>
      </c>
      <c r="H198">
        <v>21.8</v>
      </c>
      <c r="I198">
        <v>17.8</v>
      </c>
      <c r="J198">
        <v>11.9</v>
      </c>
      <c r="K198">
        <v>6.9</v>
      </c>
      <c r="L198">
        <v>56</v>
      </c>
      <c r="M198">
        <f t="shared" si="6"/>
        <v>316.8</v>
      </c>
      <c r="N198" t="str">
        <f t="shared" si="7"/>
        <v/>
      </c>
    </row>
    <row r="199" spans="1:14" x14ac:dyDescent="0.35">
      <c r="A199" t="s">
        <v>21</v>
      </c>
      <c r="B199" t="s">
        <v>17</v>
      </c>
      <c r="C199" t="s">
        <v>14</v>
      </c>
      <c r="D199" t="s">
        <v>31</v>
      </c>
      <c r="E199" s="1">
        <v>0.83333333333333337</v>
      </c>
      <c r="F199" t="s">
        <v>33</v>
      </c>
      <c r="G199">
        <v>346.5</v>
      </c>
      <c r="H199">
        <v>29.7</v>
      </c>
      <c r="I199">
        <v>14.8</v>
      </c>
      <c r="J199">
        <v>13.9</v>
      </c>
      <c r="K199">
        <v>5.9</v>
      </c>
      <c r="L199">
        <v>59</v>
      </c>
      <c r="M199" t="str">
        <f t="shared" si="6"/>
        <v/>
      </c>
      <c r="N199">
        <f t="shared" si="7"/>
        <v>346.5</v>
      </c>
    </row>
    <row r="200" spans="1:14" x14ac:dyDescent="0.35">
      <c r="A200" t="s">
        <v>21</v>
      </c>
      <c r="B200" t="s">
        <v>18</v>
      </c>
      <c r="C200" t="s">
        <v>11</v>
      </c>
      <c r="D200" t="s">
        <v>31</v>
      </c>
      <c r="E200" s="1">
        <v>0.83333333333333337</v>
      </c>
      <c r="F200" t="s">
        <v>32</v>
      </c>
      <c r="G200">
        <v>316.8</v>
      </c>
      <c r="H200">
        <v>21.8</v>
      </c>
      <c r="I200">
        <v>17.8</v>
      </c>
      <c r="J200">
        <v>11.9</v>
      </c>
      <c r="K200">
        <v>6.9</v>
      </c>
      <c r="L200">
        <v>50</v>
      </c>
      <c r="M200">
        <f t="shared" si="6"/>
        <v>316.8</v>
      </c>
      <c r="N200" t="str">
        <f t="shared" si="7"/>
        <v/>
      </c>
    </row>
    <row r="201" spans="1:14" x14ac:dyDescent="0.35">
      <c r="A201" t="s">
        <v>21</v>
      </c>
      <c r="B201" t="s">
        <v>18</v>
      </c>
      <c r="C201" t="s">
        <v>14</v>
      </c>
      <c r="D201" t="s">
        <v>31</v>
      </c>
      <c r="E201" s="1">
        <v>0.83333333333333337</v>
      </c>
      <c r="F201" t="s">
        <v>33</v>
      </c>
      <c r="G201">
        <v>346.5</v>
      </c>
      <c r="H201">
        <v>29.7</v>
      </c>
      <c r="I201">
        <v>14.8</v>
      </c>
      <c r="J201">
        <v>13.9</v>
      </c>
      <c r="K201">
        <v>5.9</v>
      </c>
      <c r="L201">
        <v>56</v>
      </c>
      <c r="M201" t="str">
        <f t="shared" si="6"/>
        <v/>
      </c>
      <c r="N201">
        <f t="shared" si="7"/>
        <v>346.5</v>
      </c>
    </row>
    <row r="202" spans="1:14" x14ac:dyDescent="0.35">
      <c r="A202" t="s">
        <v>22</v>
      </c>
      <c r="B202" t="s">
        <v>10</v>
      </c>
      <c r="C202" t="s">
        <v>11</v>
      </c>
      <c r="D202" t="s">
        <v>31</v>
      </c>
      <c r="E202" s="1">
        <v>0.83333333333333337</v>
      </c>
      <c r="F202" t="s">
        <v>32</v>
      </c>
      <c r="G202">
        <v>320</v>
      </c>
      <c r="H202">
        <v>22</v>
      </c>
      <c r="I202">
        <v>18</v>
      </c>
      <c r="J202">
        <v>12</v>
      </c>
      <c r="K202">
        <v>7</v>
      </c>
      <c r="L202">
        <v>42</v>
      </c>
      <c r="M202">
        <f t="shared" si="6"/>
        <v>320</v>
      </c>
      <c r="N202" t="str">
        <f t="shared" si="7"/>
        <v/>
      </c>
    </row>
    <row r="203" spans="1:14" x14ac:dyDescent="0.35">
      <c r="A203" t="s">
        <v>22</v>
      </c>
      <c r="B203" t="s">
        <v>10</v>
      </c>
      <c r="C203" t="s">
        <v>14</v>
      </c>
      <c r="D203" t="s">
        <v>31</v>
      </c>
      <c r="E203" s="1">
        <v>0.83333333333333337</v>
      </c>
      <c r="F203" t="s">
        <v>33</v>
      </c>
      <c r="G203">
        <v>350</v>
      </c>
      <c r="H203">
        <v>30</v>
      </c>
      <c r="I203">
        <v>15</v>
      </c>
      <c r="J203">
        <v>14</v>
      </c>
      <c r="K203">
        <v>6</v>
      </c>
      <c r="L203">
        <v>47</v>
      </c>
      <c r="M203" t="str">
        <f t="shared" si="6"/>
        <v/>
      </c>
      <c r="N203">
        <f t="shared" si="7"/>
        <v>350</v>
      </c>
    </row>
    <row r="204" spans="1:14" x14ac:dyDescent="0.35">
      <c r="A204" t="s">
        <v>22</v>
      </c>
      <c r="B204" t="s">
        <v>16</v>
      </c>
      <c r="C204" t="s">
        <v>11</v>
      </c>
      <c r="D204" t="s">
        <v>31</v>
      </c>
      <c r="E204" s="1">
        <v>0.83333333333333337</v>
      </c>
      <c r="F204" t="s">
        <v>32</v>
      </c>
      <c r="G204">
        <v>320</v>
      </c>
      <c r="H204">
        <v>22</v>
      </c>
      <c r="I204">
        <v>18</v>
      </c>
      <c r="J204">
        <v>12</v>
      </c>
      <c r="K204">
        <v>7</v>
      </c>
      <c r="L204">
        <v>43</v>
      </c>
      <c r="M204">
        <f t="shared" si="6"/>
        <v>320</v>
      </c>
      <c r="N204" t="str">
        <f t="shared" si="7"/>
        <v/>
      </c>
    </row>
    <row r="205" spans="1:14" x14ac:dyDescent="0.35">
      <c r="A205" t="s">
        <v>22</v>
      </c>
      <c r="B205" t="s">
        <v>16</v>
      </c>
      <c r="C205" t="s">
        <v>14</v>
      </c>
      <c r="D205" t="s">
        <v>31</v>
      </c>
      <c r="E205" s="1">
        <v>0.83333333333333337</v>
      </c>
      <c r="F205" t="s">
        <v>33</v>
      </c>
      <c r="G205">
        <v>350</v>
      </c>
      <c r="H205">
        <v>30</v>
      </c>
      <c r="I205">
        <v>15</v>
      </c>
      <c r="J205">
        <v>14</v>
      </c>
      <c r="K205">
        <v>6</v>
      </c>
      <c r="L205">
        <v>58</v>
      </c>
      <c r="M205" t="str">
        <f t="shared" si="6"/>
        <v/>
      </c>
      <c r="N205">
        <f t="shared" si="7"/>
        <v>350</v>
      </c>
    </row>
    <row r="206" spans="1:14" x14ac:dyDescent="0.35">
      <c r="A206" t="s">
        <v>22</v>
      </c>
      <c r="B206" t="s">
        <v>17</v>
      </c>
      <c r="C206" t="s">
        <v>11</v>
      </c>
      <c r="D206" t="s">
        <v>31</v>
      </c>
      <c r="E206" s="1">
        <v>0.83333333333333337</v>
      </c>
      <c r="F206" t="s">
        <v>32</v>
      </c>
      <c r="G206">
        <v>320</v>
      </c>
      <c r="H206">
        <v>22</v>
      </c>
      <c r="I206">
        <v>18</v>
      </c>
      <c r="J206">
        <v>12</v>
      </c>
      <c r="K206">
        <v>7</v>
      </c>
      <c r="L206">
        <v>57</v>
      </c>
      <c r="M206">
        <f t="shared" si="6"/>
        <v>320</v>
      </c>
      <c r="N206" t="str">
        <f t="shared" si="7"/>
        <v/>
      </c>
    </row>
    <row r="207" spans="1:14" x14ac:dyDescent="0.35">
      <c r="A207" t="s">
        <v>22</v>
      </c>
      <c r="B207" t="s">
        <v>17</v>
      </c>
      <c r="C207" t="s">
        <v>14</v>
      </c>
      <c r="D207" t="s">
        <v>31</v>
      </c>
      <c r="E207" s="1">
        <v>0.83333333333333337</v>
      </c>
      <c r="F207" t="s">
        <v>33</v>
      </c>
      <c r="G207">
        <v>350</v>
      </c>
      <c r="H207">
        <v>30</v>
      </c>
      <c r="I207">
        <v>15</v>
      </c>
      <c r="J207">
        <v>14</v>
      </c>
      <c r="K207">
        <v>6</v>
      </c>
      <c r="L207">
        <v>60</v>
      </c>
      <c r="M207" t="str">
        <f t="shared" si="6"/>
        <v/>
      </c>
      <c r="N207">
        <f t="shared" si="7"/>
        <v>350</v>
      </c>
    </row>
    <row r="208" spans="1:14" x14ac:dyDescent="0.35">
      <c r="A208" t="s">
        <v>22</v>
      </c>
      <c r="B208" t="s">
        <v>18</v>
      </c>
      <c r="C208" t="s">
        <v>11</v>
      </c>
      <c r="D208" t="s">
        <v>31</v>
      </c>
      <c r="E208" s="1">
        <v>0.83333333333333337</v>
      </c>
      <c r="F208" t="s">
        <v>32</v>
      </c>
      <c r="G208">
        <v>320</v>
      </c>
      <c r="H208">
        <v>22</v>
      </c>
      <c r="I208">
        <v>18</v>
      </c>
      <c r="J208">
        <v>12</v>
      </c>
      <c r="K208">
        <v>7</v>
      </c>
      <c r="L208">
        <v>52</v>
      </c>
      <c r="M208">
        <f t="shared" si="6"/>
        <v>320</v>
      </c>
      <c r="N208" t="str">
        <f t="shared" si="7"/>
        <v/>
      </c>
    </row>
    <row r="209" spans="1:14" x14ac:dyDescent="0.35">
      <c r="A209" t="s">
        <v>22</v>
      </c>
      <c r="B209" t="s">
        <v>18</v>
      </c>
      <c r="C209" t="s">
        <v>14</v>
      </c>
      <c r="D209" t="s">
        <v>31</v>
      </c>
      <c r="E209" s="1">
        <v>0.83333333333333337</v>
      </c>
      <c r="F209" t="s">
        <v>33</v>
      </c>
      <c r="G209">
        <v>350</v>
      </c>
      <c r="H209">
        <v>30</v>
      </c>
      <c r="I209">
        <v>15</v>
      </c>
      <c r="J209">
        <v>14</v>
      </c>
      <c r="K209">
        <v>6</v>
      </c>
      <c r="L209">
        <v>57</v>
      </c>
      <c r="M209" t="str">
        <f t="shared" si="6"/>
        <v/>
      </c>
      <c r="N209">
        <f t="shared" si="7"/>
        <v>350</v>
      </c>
    </row>
    <row r="210" spans="1:14" x14ac:dyDescent="0.35">
      <c r="A210" t="s">
        <v>23</v>
      </c>
      <c r="B210" t="s">
        <v>10</v>
      </c>
      <c r="C210" t="s">
        <v>11</v>
      </c>
      <c r="D210" t="s">
        <v>31</v>
      </c>
      <c r="E210" s="1">
        <v>0.83333333333333337</v>
      </c>
      <c r="F210" t="s">
        <v>32</v>
      </c>
      <c r="G210">
        <v>323.2</v>
      </c>
      <c r="H210">
        <v>22.2</v>
      </c>
      <c r="I210">
        <v>18.2</v>
      </c>
      <c r="J210">
        <v>12.1</v>
      </c>
      <c r="K210">
        <v>7.1</v>
      </c>
      <c r="L210">
        <v>38</v>
      </c>
      <c r="M210">
        <f t="shared" si="6"/>
        <v>323.2</v>
      </c>
      <c r="N210" t="str">
        <f t="shared" si="7"/>
        <v/>
      </c>
    </row>
    <row r="211" spans="1:14" x14ac:dyDescent="0.35">
      <c r="A211" t="s">
        <v>23</v>
      </c>
      <c r="B211" t="s">
        <v>10</v>
      </c>
      <c r="C211" t="s">
        <v>14</v>
      </c>
      <c r="D211" t="s">
        <v>31</v>
      </c>
      <c r="E211" s="1">
        <v>0.83333333333333337</v>
      </c>
      <c r="F211" t="s">
        <v>33</v>
      </c>
      <c r="G211">
        <v>353.5</v>
      </c>
      <c r="H211">
        <v>30.3</v>
      </c>
      <c r="I211">
        <v>15.2</v>
      </c>
      <c r="J211">
        <v>14.1</v>
      </c>
      <c r="K211">
        <v>6.1</v>
      </c>
      <c r="L211">
        <v>40</v>
      </c>
      <c r="M211" t="str">
        <f t="shared" si="6"/>
        <v/>
      </c>
      <c r="N211">
        <f t="shared" si="7"/>
        <v>353.5</v>
      </c>
    </row>
    <row r="212" spans="1:14" x14ac:dyDescent="0.35">
      <c r="A212" t="s">
        <v>23</v>
      </c>
      <c r="B212" t="s">
        <v>16</v>
      </c>
      <c r="C212" t="s">
        <v>11</v>
      </c>
      <c r="D212" t="s">
        <v>31</v>
      </c>
      <c r="E212" s="1">
        <v>0.83333333333333337</v>
      </c>
      <c r="F212" t="s">
        <v>32</v>
      </c>
      <c r="G212">
        <v>323.2</v>
      </c>
      <c r="H212">
        <v>22.2</v>
      </c>
      <c r="I212">
        <v>18.2</v>
      </c>
      <c r="J212">
        <v>12.1</v>
      </c>
      <c r="K212">
        <v>7.1</v>
      </c>
      <c r="L212">
        <v>40</v>
      </c>
      <c r="M212">
        <f t="shared" si="6"/>
        <v>323.2</v>
      </c>
      <c r="N212" t="str">
        <f t="shared" si="7"/>
        <v/>
      </c>
    </row>
    <row r="213" spans="1:14" x14ac:dyDescent="0.35">
      <c r="A213" t="s">
        <v>23</v>
      </c>
      <c r="B213" t="s">
        <v>16</v>
      </c>
      <c r="C213" t="s">
        <v>14</v>
      </c>
      <c r="D213" t="s">
        <v>31</v>
      </c>
      <c r="E213" s="1">
        <v>0.83333333333333337</v>
      </c>
      <c r="F213" t="s">
        <v>33</v>
      </c>
      <c r="G213">
        <v>353.5</v>
      </c>
      <c r="H213">
        <v>30.3</v>
      </c>
      <c r="I213">
        <v>15.2</v>
      </c>
      <c r="J213">
        <v>14.1</v>
      </c>
      <c r="K213">
        <v>6.1</v>
      </c>
      <c r="L213">
        <v>47</v>
      </c>
      <c r="M213" t="str">
        <f t="shared" si="6"/>
        <v/>
      </c>
      <c r="N213">
        <f t="shared" si="7"/>
        <v>353.5</v>
      </c>
    </row>
    <row r="214" spans="1:14" x14ac:dyDescent="0.35">
      <c r="A214" t="s">
        <v>23</v>
      </c>
      <c r="B214" t="s">
        <v>17</v>
      </c>
      <c r="C214" t="s">
        <v>11</v>
      </c>
      <c r="D214" t="s">
        <v>31</v>
      </c>
      <c r="E214" s="1">
        <v>0.83333333333333337</v>
      </c>
      <c r="F214" t="s">
        <v>32</v>
      </c>
      <c r="G214">
        <v>323.2</v>
      </c>
      <c r="H214">
        <v>22.2</v>
      </c>
      <c r="I214">
        <v>18.2</v>
      </c>
      <c r="J214">
        <v>12.1</v>
      </c>
      <c r="K214">
        <v>7.1</v>
      </c>
      <c r="L214">
        <v>53</v>
      </c>
      <c r="M214">
        <f t="shared" si="6"/>
        <v>323.2</v>
      </c>
      <c r="N214" t="str">
        <f t="shared" si="7"/>
        <v/>
      </c>
    </row>
    <row r="215" spans="1:14" x14ac:dyDescent="0.35">
      <c r="A215" t="s">
        <v>23</v>
      </c>
      <c r="B215" t="s">
        <v>17</v>
      </c>
      <c r="C215" t="s">
        <v>14</v>
      </c>
      <c r="D215" t="s">
        <v>31</v>
      </c>
      <c r="E215" s="1">
        <v>0.83333333333333337</v>
      </c>
      <c r="F215" t="s">
        <v>33</v>
      </c>
      <c r="G215">
        <v>353.5</v>
      </c>
      <c r="H215">
        <v>30.3</v>
      </c>
      <c r="I215">
        <v>15.2</v>
      </c>
      <c r="J215">
        <v>14.1</v>
      </c>
      <c r="K215">
        <v>6.1</v>
      </c>
      <c r="L215">
        <v>59</v>
      </c>
      <c r="M215" t="str">
        <f t="shared" si="6"/>
        <v/>
      </c>
      <c r="N215">
        <f t="shared" si="7"/>
        <v>353.5</v>
      </c>
    </row>
    <row r="216" spans="1:14" x14ac:dyDescent="0.35">
      <c r="A216" t="s">
        <v>23</v>
      </c>
      <c r="B216" t="s">
        <v>18</v>
      </c>
      <c r="C216" t="s">
        <v>11</v>
      </c>
      <c r="D216" t="s">
        <v>31</v>
      </c>
      <c r="E216" s="1">
        <v>0.83333333333333337</v>
      </c>
      <c r="F216" t="s">
        <v>32</v>
      </c>
      <c r="G216">
        <v>323.2</v>
      </c>
      <c r="H216">
        <v>22.2</v>
      </c>
      <c r="I216">
        <v>18.2</v>
      </c>
      <c r="J216">
        <v>12.1</v>
      </c>
      <c r="K216">
        <v>7.1</v>
      </c>
      <c r="L216">
        <v>48</v>
      </c>
      <c r="M216">
        <f t="shared" si="6"/>
        <v>323.2</v>
      </c>
      <c r="N216" t="str">
        <f t="shared" si="7"/>
        <v/>
      </c>
    </row>
    <row r="217" spans="1:14" x14ac:dyDescent="0.35">
      <c r="A217" t="s">
        <v>23</v>
      </c>
      <c r="B217" t="s">
        <v>18</v>
      </c>
      <c r="C217" t="s">
        <v>14</v>
      </c>
      <c r="D217" t="s">
        <v>31</v>
      </c>
      <c r="E217" s="1">
        <v>0.83333333333333337</v>
      </c>
      <c r="F217" t="s">
        <v>33</v>
      </c>
      <c r="G217">
        <v>353.5</v>
      </c>
      <c r="H217">
        <v>30.3</v>
      </c>
      <c r="I217">
        <v>15.2</v>
      </c>
      <c r="J217">
        <v>14.1</v>
      </c>
      <c r="K217">
        <v>6.1</v>
      </c>
      <c r="L217">
        <v>54</v>
      </c>
      <c r="M217" t="str">
        <f t="shared" si="6"/>
        <v/>
      </c>
      <c r="N217">
        <f t="shared" si="7"/>
        <v>353.5</v>
      </c>
    </row>
    <row r="218" spans="1:14" x14ac:dyDescent="0.35">
      <c r="A218" t="s">
        <v>24</v>
      </c>
      <c r="B218" t="s">
        <v>10</v>
      </c>
      <c r="C218" t="s">
        <v>11</v>
      </c>
      <c r="D218" t="s">
        <v>31</v>
      </c>
      <c r="E218" s="1">
        <v>0.83333333333333337</v>
      </c>
      <c r="F218" t="s">
        <v>32</v>
      </c>
      <c r="G218">
        <v>326.39999999999998</v>
      </c>
      <c r="H218">
        <v>22.4</v>
      </c>
      <c r="I218">
        <v>18.399999999999999</v>
      </c>
      <c r="J218">
        <v>12.2</v>
      </c>
      <c r="K218">
        <v>7.1</v>
      </c>
      <c r="L218">
        <v>40</v>
      </c>
      <c r="M218">
        <f t="shared" si="6"/>
        <v>326.39999999999998</v>
      </c>
      <c r="N218" t="str">
        <f t="shared" si="7"/>
        <v/>
      </c>
    </row>
    <row r="219" spans="1:14" x14ac:dyDescent="0.35">
      <c r="A219" t="s">
        <v>24</v>
      </c>
      <c r="B219" t="s">
        <v>10</v>
      </c>
      <c r="C219" t="s">
        <v>14</v>
      </c>
      <c r="D219" t="s">
        <v>31</v>
      </c>
      <c r="E219" s="1">
        <v>0.83333333333333337</v>
      </c>
      <c r="F219" t="s">
        <v>33</v>
      </c>
      <c r="G219">
        <v>357</v>
      </c>
      <c r="H219">
        <v>30.6</v>
      </c>
      <c r="I219">
        <v>15.3</v>
      </c>
      <c r="J219">
        <v>14.3</v>
      </c>
      <c r="K219">
        <v>6.1</v>
      </c>
      <c r="L219">
        <v>42</v>
      </c>
      <c r="M219" t="str">
        <f t="shared" si="6"/>
        <v/>
      </c>
      <c r="N219">
        <f t="shared" si="7"/>
        <v>357</v>
      </c>
    </row>
    <row r="220" spans="1:14" x14ac:dyDescent="0.35">
      <c r="A220" t="s">
        <v>24</v>
      </c>
      <c r="B220" t="s">
        <v>16</v>
      </c>
      <c r="C220" t="s">
        <v>11</v>
      </c>
      <c r="D220" t="s">
        <v>31</v>
      </c>
      <c r="E220" s="1">
        <v>0.83333333333333337</v>
      </c>
      <c r="F220" t="s">
        <v>32</v>
      </c>
      <c r="G220">
        <v>326.39999999999998</v>
      </c>
      <c r="H220">
        <v>22.4</v>
      </c>
      <c r="I220">
        <v>18.399999999999999</v>
      </c>
      <c r="J220">
        <v>12.2</v>
      </c>
      <c r="K220">
        <v>7.1</v>
      </c>
      <c r="L220">
        <v>46</v>
      </c>
      <c r="M220">
        <f t="shared" si="6"/>
        <v>326.39999999999998</v>
      </c>
      <c r="N220" t="str">
        <f t="shared" si="7"/>
        <v/>
      </c>
    </row>
    <row r="221" spans="1:14" x14ac:dyDescent="0.35">
      <c r="A221" t="s">
        <v>24</v>
      </c>
      <c r="B221" t="s">
        <v>16</v>
      </c>
      <c r="C221" t="s">
        <v>14</v>
      </c>
      <c r="D221" t="s">
        <v>31</v>
      </c>
      <c r="E221" s="1">
        <v>0.83333333333333337</v>
      </c>
      <c r="F221" t="s">
        <v>33</v>
      </c>
      <c r="G221">
        <v>357</v>
      </c>
      <c r="H221">
        <v>30.6</v>
      </c>
      <c r="I221">
        <v>15.3</v>
      </c>
      <c r="J221">
        <v>14.3</v>
      </c>
      <c r="K221">
        <v>6.1</v>
      </c>
      <c r="L221">
        <v>49</v>
      </c>
      <c r="M221" t="str">
        <f t="shared" si="6"/>
        <v/>
      </c>
      <c r="N221">
        <f t="shared" si="7"/>
        <v>357</v>
      </c>
    </row>
    <row r="222" spans="1:14" x14ac:dyDescent="0.35">
      <c r="A222" t="s">
        <v>24</v>
      </c>
      <c r="B222" t="s">
        <v>17</v>
      </c>
      <c r="C222" t="s">
        <v>11</v>
      </c>
      <c r="D222" t="s">
        <v>31</v>
      </c>
      <c r="E222" s="1">
        <v>0.83333333333333337</v>
      </c>
      <c r="F222" t="s">
        <v>32</v>
      </c>
      <c r="G222">
        <v>326.39999999999998</v>
      </c>
      <c r="H222">
        <v>22.4</v>
      </c>
      <c r="I222">
        <v>18.399999999999999</v>
      </c>
      <c r="J222">
        <v>12.2</v>
      </c>
      <c r="K222">
        <v>7.1</v>
      </c>
      <c r="L222">
        <v>58</v>
      </c>
      <c r="M222">
        <f t="shared" si="6"/>
        <v>326.39999999999998</v>
      </c>
      <c r="N222" t="str">
        <f t="shared" si="7"/>
        <v/>
      </c>
    </row>
    <row r="223" spans="1:14" x14ac:dyDescent="0.35">
      <c r="A223" t="s">
        <v>24</v>
      </c>
      <c r="B223" t="s">
        <v>17</v>
      </c>
      <c r="C223" t="s">
        <v>14</v>
      </c>
      <c r="D223" t="s">
        <v>31</v>
      </c>
      <c r="E223" s="1">
        <v>0.83333333333333337</v>
      </c>
      <c r="F223" t="s">
        <v>33</v>
      </c>
      <c r="G223">
        <v>357</v>
      </c>
      <c r="H223">
        <v>30.6</v>
      </c>
      <c r="I223">
        <v>15.3</v>
      </c>
      <c r="J223">
        <v>14.3</v>
      </c>
      <c r="K223">
        <v>6.1</v>
      </c>
      <c r="L223">
        <v>60</v>
      </c>
      <c r="M223" t="str">
        <f t="shared" si="6"/>
        <v/>
      </c>
      <c r="N223">
        <f t="shared" si="7"/>
        <v>357</v>
      </c>
    </row>
    <row r="224" spans="1:14" x14ac:dyDescent="0.35">
      <c r="A224" t="s">
        <v>24</v>
      </c>
      <c r="B224" t="s">
        <v>18</v>
      </c>
      <c r="C224" t="s">
        <v>11</v>
      </c>
      <c r="D224" t="s">
        <v>31</v>
      </c>
      <c r="E224" s="1">
        <v>0.83333333333333337</v>
      </c>
      <c r="F224" t="s">
        <v>32</v>
      </c>
      <c r="G224">
        <v>326.39999999999998</v>
      </c>
      <c r="H224">
        <v>22.4</v>
      </c>
      <c r="I224">
        <v>18.399999999999999</v>
      </c>
      <c r="J224">
        <v>12.2</v>
      </c>
      <c r="K224">
        <v>7.1</v>
      </c>
      <c r="L224">
        <v>50</v>
      </c>
      <c r="M224">
        <f t="shared" si="6"/>
        <v>326.39999999999998</v>
      </c>
      <c r="N224" t="str">
        <f t="shared" si="7"/>
        <v/>
      </c>
    </row>
    <row r="225" spans="1:14" x14ac:dyDescent="0.35">
      <c r="A225" t="s">
        <v>24</v>
      </c>
      <c r="B225" t="s">
        <v>18</v>
      </c>
      <c r="C225" t="s">
        <v>14</v>
      </c>
      <c r="D225" t="s">
        <v>31</v>
      </c>
      <c r="E225" s="1">
        <v>0.83333333333333337</v>
      </c>
      <c r="F225" t="s">
        <v>33</v>
      </c>
      <c r="G225">
        <v>357</v>
      </c>
      <c r="H225">
        <v>30.6</v>
      </c>
      <c r="I225">
        <v>15.3</v>
      </c>
      <c r="J225">
        <v>14.3</v>
      </c>
      <c r="K225">
        <v>6.1</v>
      </c>
      <c r="L225">
        <v>54</v>
      </c>
      <c r="M225" t="str">
        <f t="shared" si="6"/>
        <v/>
      </c>
      <c r="N225">
        <f t="shared" si="7"/>
        <v>357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B5759-C204-4A0B-A375-5586996592DA}">
  <dimension ref="C1:G31"/>
  <sheetViews>
    <sheetView topLeftCell="A19" workbookViewId="0">
      <selection activeCell="J33" sqref="J33"/>
    </sheetView>
  </sheetViews>
  <sheetFormatPr defaultRowHeight="18" x14ac:dyDescent="0.35"/>
  <cols>
    <col min="3" max="3" width="11.33203125" bestFit="1" customWidth="1"/>
    <col min="4" max="4" width="13.08203125" bestFit="1" customWidth="1"/>
    <col min="5" max="7" width="11.75" bestFit="1" customWidth="1"/>
    <col min="8" max="8" width="3.75" bestFit="1" customWidth="1"/>
    <col min="9" max="9" width="5.75" bestFit="1" customWidth="1"/>
    <col min="10" max="10" width="3.75" bestFit="1" customWidth="1"/>
    <col min="11" max="14" width="5.75" bestFit="1" customWidth="1"/>
    <col min="15" max="15" width="3.75" bestFit="1" customWidth="1"/>
    <col min="16" max="21" width="5.75" bestFit="1" customWidth="1"/>
    <col min="22" max="22" width="3.75" bestFit="1" customWidth="1"/>
    <col min="23" max="24" width="5.75" bestFit="1" customWidth="1"/>
    <col min="25" max="25" width="3.75" bestFit="1" customWidth="1"/>
    <col min="26" max="26" width="5.75" bestFit="1" customWidth="1"/>
    <col min="27" max="27" width="3.75" bestFit="1" customWidth="1"/>
    <col min="28" max="30" width="5.75" bestFit="1" customWidth="1"/>
    <col min="31" max="31" width="3.75" bestFit="1" customWidth="1"/>
    <col min="32" max="34" width="5.75" bestFit="1" customWidth="1"/>
    <col min="35" max="36" width="3.75" bestFit="1" customWidth="1"/>
    <col min="37" max="42" width="5.75" bestFit="1" customWidth="1"/>
    <col min="43" max="43" width="3.75" bestFit="1" customWidth="1"/>
    <col min="44" max="49" width="5.75" bestFit="1" customWidth="1"/>
    <col min="50" max="50" width="3.75" bestFit="1" customWidth="1"/>
    <col min="51" max="52" width="5.75" bestFit="1" customWidth="1"/>
  </cols>
  <sheetData>
    <row r="1" spans="3:4" x14ac:dyDescent="0.35">
      <c r="C1" t="s">
        <v>45</v>
      </c>
    </row>
    <row r="2" spans="3:4" x14ac:dyDescent="0.35">
      <c r="C2" s="3" t="s">
        <v>43</v>
      </c>
      <c r="D2" t="s">
        <v>44</v>
      </c>
    </row>
    <row r="3" spans="3:4" x14ac:dyDescent="0.35">
      <c r="C3" s="4" t="s">
        <v>12</v>
      </c>
      <c r="D3">
        <v>52.089285714285715</v>
      </c>
    </row>
    <row r="4" spans="3:4" x14ac:dyDescent="0.35">
      <c r="C4" s="4" t="s">
        <v>31</v>
      </c>
      <c r="D4">
        <v>50.857142857142854</v>
      </c>
    </row>
    <row r="5" spans="3:4" x14ac:dyDescent="0.35">
      <c r="C5" s="4" t="s">
        <v>25</v>
      </c>
      <c r="D5">
        <v>53.803571428571431</v>
      </c>
    </row>
    <row r="6" spans="3:4" x14ac:dyDescent="0.35">
      <c r="C6" s="4" t="s">
        <v>28</v>
      </c>
      <c r="D6">
        <v>45.982142857142854</v>
      </c>
    </row>
    <row r="9" spans="3:4" x14ac:dyDescent="0.35">
      <c r="C9" s="4" t="s">
        <v>49</v>
      </c>
    </row>
    <row r="10" spans="3:4" x14ac:dyDescent="0.35">
      <c r="C10" s="3" t="s">
        <v>43</v>
      </c>
      <c r="D10" t="s">
        <v>48</v>
      </c>
    </row>
    <row r="11" spans="3:4" x14ac:dyDescent="0.35">
      <c r="C11" s="4" t="s">
        <v>12</v>
      </c>
      <c r="D11">
        <v>351.45</v>
      </c>
    </row>
    <row r="12" spans="3:4" x14ac:dyDescent="0.35">
      <c r="C12" s="4" t="s">
        <v>31</v>
      </c>
      <c r="D12">
        <v>331.65000000000015</v>
      </c>
    </row>
    <row r="13" spans="3:4" x14ac:dyDescent="0.35">
      <c r="C13" s="4" t="s">
        <v>25</v>
      </c>
      <c r="D13">
        <v>445.5</v>
      </c>
    </row>
    <row r="14" spans="3:4" x14ac:dyDescent="0.35">
      <c r="C14" s="4" t="s">
        <v>28</v>
      </c>
      <c r="D14">
        <v>257.40000000000009</v>
      </c>
    </row>
    <row r="16" spans="3:4" x14ac:dyDescent="0.35">
      <c r="C16" t="s">
        <v>50</v>
      </c>
    </row>
    <row r="17" spans="3:7" x14ac:dyDescent="0.35">
      <c r="C17" t="s">
        <v>51</v>
      </c>
      <c r="D17" t="s">
        <v>52</v>
      </c>
      <c r="E17" t="s">
        <v>53</v>
      </c>
      <c r="F17" t="s">
        <v>54</v>
      </c>
    </row>
    <row r="18" spans="3:7" x14ac:dyDescent="0.35">
      <c r="C18">
        <v>22.150000000000009</v>
      </c>
      <c r="D18">
        <v>27.594642857142837</v>
      </c>
      <c r="E18">
        <v>11.999999999999998</v>
      </c>
      <c r="F18">
        <v>5.9410714285714263</v>
      </c>
    </row>
    <row r="20" spans="3:7" x14ac:dyDescent="0.35">
      <c r="C20" t="s">
        <v>55</v>
      </c>
    </row>
    <row r="22" spans="3:7" x14ac:dyDescent="0.35">
      <c r="C22" s="3" t="s">
        <v>44</v>
      </c>
      <c r="D22" s="3" t="s">
        <v>46</v>
      </c>
    </row>
    <row r="23" spans="3:7" x14ac:dyDescent="0.35">
      <c r="C23" s="3" t="s">
        <v>43</v>
      </c>
      <c r="D23" t="s">
        <v>12</v>
      </c>
      <c r="E23" t="s">
        <v>31</v>
      </c>
      <c r="F23" t="s">
        <v>25</v>
      </c>
      <c r="G23" t="s">
        <v>28</v>
      </c>
    </row>
    <row r="24" spans="3:7" x14ac:dyDescent="0.35">
      <c r="C24" s="4" t="s">
        <v>16</v>
      </c>
      <c r="D24">
        <v>49.571428571428569</v>
      </c>
      <c r="E24">
        <v>48.285714285714285</v>
      </c>
      <c r="F24">
        <v>51.214285714285715</v>
      </c>
      <c r="G24">
        <v>43.5</v>
      </c>
    </row>
    <row r="25" spans="3:7" x14ac:dyDescent="0.35">
      <c r="C25" s="4" t="s">
        <v>10</v>
      </c>
      <c r="D25">
        <v>45.857142857142854</v>
      </c>
      <c r="E25">
        <v>43.071428571428569</v>
      </c>
      <c r="F25">
        <v>46.357142857142854</v>
      </c>
      <c r="G25">
        <v>39.714285714285715</v>
      </c>
    </row>
    <row r="26" spans="3:7" x14ac:dyDescent="0.35">
      <c r="C26" s="4" t="s">
        <v>18</v>
      </c>
      <c r="D26">
        <v>53.785714285714285</v>
      </c>
      <c r="E26">
        <v>53.571428571428569</v>
      </c>
      <c r="F26">
        <v>57.142857142857146</v>
      </c>
      <c r="G26">
        <v>50</v>
      </c>
    </row>
    <row r="27" spans="3:7" x14ac:dyDescent="0.35">
      <c r="C27" s="4" t="s">
        <v>17</v>
      </c>
      <c r="D27">
        <v>59.142857142857146</v>
      </c>
      <c r="E27">
        <v>58.5</v>
      </c>
      <c r="F27">
        <v>60.5</v>
      </c>
      <c r="G27">
        <v>50.714285714285715</v>
      </c>
    </row>
    <row r="28" spans="3:7" x14ac:dyDescent="0.35">
      <c r="C28" t="s">
        <v>56</v>
      </c>
    </row>
    <row r="29" spans="3:7" x14ac:dyDescent="0.35">
      <c r="C29" s="3" t="s">
        <v>43</v>
      </c>
      <c r="D29" t="s">
        <v>47</v>
      </c>
    </row>
    <row r="30" spans="3:7" x14ac:dyDescent="0.35">
      <c r="C30" s="4" t="s">
        <v>14</v>
      </c>
      <c r="D30">
        <v>40471.199999999997</v>
      </c>
    </row>
    <row r="31" spans="3:7" x14ac:dyDescent="0.35">
      <c r="C31" s="4" t="s">
        <v>11</v>
      </c>
      <c r="D31">
        <v>37144.80000000001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440F7-8371-41CE-8F63-2CDCC12F58E8}">
  <dimension ref="A1"/>
  <sheetViews>
    <sheetView tabSelected="1" zoomScale="70" zoomScaleNormal="70" workbookViewId="0">
      <selection activeCell="R8" sqref="R8"/>
    </sheetView>
  </sheetViews>
  <sheetFormatPr defaultRowHeight="18"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Diabetic</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Arnab</dc:creator>
  <cp:lastModifiedBy>ARNAB CHANDA</cp:lastModifiedBy>
  <dcterms:created xsi:type="dcterms:W3CDTF">2025-12-21T06:23:36Z</dcterms:created>
  <dcterms:modified xsi:type="dcterms:W3CDTF">2026-01-12T03:17:05Z</dcterms:modified>
</cp:coreProperties>
</file>